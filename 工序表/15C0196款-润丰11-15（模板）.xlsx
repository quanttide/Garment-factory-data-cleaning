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15C0196" sheetId="1" r:id="rId1"/>
    <sheet name="Sheet1" sheetId="2" r:id="rId2"/>
    <sheet name="Sheet2" sheetId="3" r:id="rId3"/>
  </sheets>
  <definedNames>
    <definedName name="_xlnm._FilterDatabase" localSheetId="0" hidden="1">'15C0196'!$A$20:$CP$121</definedName>
    <definedName name="_xlnm.Print_Titles" localSheetId="0">'15C0196'!$1:$11</definedName>
    <definedName name="_xlnm.Print_Area" localSheetId="0">'15C0196'!$A$1:$I$120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<sst xmlns="http://schemas.openxmlformats.org/spreadsheetml/2006/main" count="683" uniqueCount="276">
  <si>
    <t>重庆尚上服饰有限公司</t>
  </si>
  <si>
    <t>款式工序表</t>
  </si>
  <si>
    <t>打印日期：2024-10-28 9:44:36</t>
  </si>
  <si>
    <t>生产制单号:</t>
  </si>
  <si>
    <t>15C0196/71C0049</t>
  </si>
  <si>
    <t>客　　户：</t>
  </si>
  <si>
    <t>mondetta</t>
  </si>
  <si>
    <t>客户款号:</t>
  </si>
  <si>
    <t>15C0196</t>
  </si>
  <si>
    <t>款式描述：</t>
  </si>
  <si>
    <t>多针车橡筋腰头 四线上腰头  前贴袋  侧边贴袋落袋盖</t>
  </si>
  <si>
    <t>品质标准:</t>
  </si>
  <si>
    <t>数　　量：</t>
  </si>
  <si>
    <t>车缝时间:</t>
  </si>
  <si>
    <t>车缝10H台产:</t>
  </si>
  <si>
    <t>裁床10H台产:</t>
  </si>
  <si>
    <t>尾部10H台产:</t>
  </si>
  <si>
    <t>裁床单价：</t>
  </si>
  <si>
    <t>车缝单价：</t>
  </si>
  <si>
    <t>后道单价：</t>
  </si>
  <si>
    <t>总 单 价：</t>
  </si>
  <si>
    <t>平均秒值：</t>
  </si>
  <si>
    <t>分 析 员：</t>
  </si>
  <si>
    <t>工序号</t>
  </si>
  <si>
    <t>工序名称</t>
  </si>
  <si>
    <t>机器类型</t>
  </si>
  <si>
    <t>基础时间</t>
  </si>
  <si>
    <t>GST时间</t>
  </si>
  <si>
    <t>工序等级</t>
  </si>
  <si>
    <t>小时目标</t>
  </si>
  <si>
    <t>1-裁床</t>
  </si>
  <si>
    <t>松布机松面布*1.12</t>
  </si>
  <si>
    <t>松布机松面布*1.088</t>
  </si>
  <si>
    <t>松布机</t>
  </si>
  <si>
    <t>E2</t>
  </si>
  <si>
    <t>拉布机拉面布*1.12</t>
  </si>
  <si>
    <t>拉布机拉面布*1.088</t>
  </si>
  <si>
    <t>拉布机</t>
  </si>
  <si>
    <t>E3</t>
  </si>
  <si>
    <t>电脑裁剪面布*15</t>
  </si>
  <si>
    <t>电脑裁剪</t>
  </si>
  <si>
    <t>D4</t>
  </si>
  <si>
    <t>面布分包*15</t>
  </si>
  <si>
    <t>手工</t>
  </si>
  <si>
    <t>面布验片/配补片*12</t>
  </si>
  <si>
    <t>面布验片/配补片*7</t>
  </si>
  <si>
    <t>打编号*12</t>
  </si>
  <si>
    <t>打编号*15</t>
  </si>
  <si>
    <t>拉布机拉衬布*0.023</t>
  </si>
  <si>
    <t>拉布机拉衬布*0.019</t>
  </si>
  <si>
    <t>电脑裁剪衬布*4</t>
  </si>
  <si>
    <t>电脑裁剪衬布*3(袋盖、直眼衬两片算一片）</t>
  </si>
  <si>
    <t>电脑裁床</t>
  </si>
  <si>
    <t>衬分包*2</t>
  </si>
  <si>
    <t>衬分包*2（大包）（袋盖衬）</t>
  </si>
  <si>
    <t>烫腰头直眼衬*2</t>
  </si>
  <si>
    <t>中烫（气烫）</t>
  </si>
  <si>
    <t>烫袋盖衬*2</t>
  </si>
  <si>
    <t>烫右后片标/撕标</t>
  </si>
  <si>
    <t>烫右后片LOGO标/撕标*1</t>
  </si>
  <si>
    <t>压烫机</t>
  </si>
  <si>
    <t>烫左后片主标/撕标*1</t>
  </si>
  <si>
    <t>下裁片</t>
  </si>
  <si>
    <t>成品烫左后片标*1</t>
  </si>
  <si>
    <t>异常工序</t>
  </si>
  <si>
    <t>成品烫右后片标*1</t>
  </si>
  <si>
    <t>2-小部件/脚口</t>
  </si>
  <si>
    <t>打印追踪标</t>
  </si>
  <si>
    <t>Y137</t>
  </si>
  <si>
    <t>电脑操作打印追踪标。</t>
  </si>
  <si>
    <t>自动模板运侧袋盖暗线连激光止口*2</t>
  </si>
  <si>
    <t>自动模板运肶袋盖暗线连激光止口*2（一个模板8个   不含摆放时间时间）</t>
  </si>
  <si>
    <t>全自动激光模板机</t>
  </si>
  <si>
    <t>手工翻侧袋盖*2</t>
  </si>
  <si>
    <t>手工翻圆角肶袋盖*2</t>
  </si>
  <si>
    <t>手工修剪侧袋盖*2</t>
  </si>
  <si>
    <t>平车转角压侧袋盖边缘明线*2</t>
  </si>
  <si>
    <t>平车压半圆角肶袋盖三边明线*2</t>
  </si>
  <si>
    <t>电脑平车</t>
  </si>
  <si>
    <t>C4</t>
  </si>
  <si>
    <t>实样刀车带线车袋盖净样线*2</t>
  </si>
  <si>
    <t>电脑单针切刀车</t>
  </si>
  <si>
    <t>冚车冚侧袋口明线*2</t>
  </si>
  <si>
    <t>冚车冚肶袋口明线*2</t>
  </si>
  <si>
    <t>电脑双针三线冚车</t>
  </si>
  <si>
    <t>实样包烫侧袋布*2</t>
  </si>
  <si>
    <t>实样包烫侧袋布*2 (包布烫）</t>
  </si>
  <si>
    <t>取消工序</t>
  </si>
  <si>
    <t>平车开骨拼接脚口连翻及固定*2</t>
  </si>
  <si>
    <t>C1</t>
  </si>
  <si>
    <t>3-腰头</t>
  </si>
  <si>
    <t>橡筋缩水（米）</t>
  </si>
  <si>
    <t>蒸箱</t>
  </si>
  <si>
    <t>E1</t>
  </si>
  <si>
    <t>蒸弹力线（个）</t>
  </si>
  <si>
    <t>量剪腰头橡筋</t>
  </si>
  <si>
    <t>量剪腰宽橡筋*1</t>
  </si>
  <si>
    <t>秒时</t>
  </si>
  <si>
    <t>单价</t>
  </si>
  <si>
    <t>拼接腰头橡筋</t>
  </si>
  <si>
    <t>拼接腰头橡筋*1</t>
  </si>
  <si>
    <t>半成品开面腰直眼*2</t>
  </si>
  <si>
    <t>半成品开面腰直眼*2（车台定位）</t>
  </si>
  <si>
    <t>电脑单头平眼车</t>
  </si>
  <si>
    <t>E4</t>
  </si>
  <si>
    <t>实样包烫前袋三方*2</t>
  </si>
  <si>
    <t>平车拼接腰缝*1</t>
  </si>
  <si>
    <t>平车拼接腰缝*1(较宽）</t>
  </si>
  <si>
    <t>实样扫粉前片袋位*2</t>
  </si>
  <si>
    <t>点腰头橡筋位*1</t>
  </si>
  <si>
    <t>点腰头橡筋位*1（带着做）</t>
  </si>
  <si>
    <t>实样扫粉侧袋及盖位*2</t>
  </si>
  <si>
    <t>平车开骨落橡筋包固腰头位*2</t>
  </si>
  <si>
    <t>平车开骨落橡筋包固腰头位*2（前后竖订通  针脚调稀）</t>
  </si>
  <si>
    <t>翻裤子</t>
  </si>
  <si>
    <t>冚车开骨包橡筋压腰头多线</t>
  </si>
  <si>
    <t>冚车开骨包橡筋压腰头多线（ 已固定 上裤架)</t>
  </si>
  <si>
    <t>多针橡筋车</t>
  </si>
  <si>
    <t>B1</t>
  </si>
  <si>
    <t>平车对位上腰头暗线*1（比口袋位高低）</t>
  </si>
  <si>
    <t>点腰头位*2</t>
  </si>
  <si>
    <t>手工点腰头侧缝位*2</t>
  </si>
  <si>
    <t>手工中烫门襟*1</t>
  </si>
  <si>
    <t>4-前片</t>
  </si>
  <si>
    <t>平车订前袋上端打枣位*2</t>
  </si>
  <si>
    <t>冚前袋口明线*2</t>
  </si>
  <si>
    <t>冚车前袋口明线*2</t>
  </si>
  <si>
    <t>自动免烫模板贴前袋一周*2</t>
  </si>
  <si>
    <t>小型全自动模板机</t>
  </si>
  <si>
    <t>分成了3个工序39/41/42</t>
  </si>
  <si>
    <t>实样包烫前袋三方*2（包布烫）</t>
  </si>
  <si>
    <t>D3</t>
  </si>
  <si>
    <t>模板贴前袋*2</t>
  </si>
  <si>
    <t>平车贴前袋三边明线连固定腰口及侧缝*2</t>
  </si>
  <si>
    <t>B2</t>
  </si>
  <si>
    <t>模板贴左前袋</t>
  </si>
  <si>
    <t>模板贴右前袋</t>
  </si>
  <si>
    <t>42工序平均分配</t>
  </si>
  <si>
    <t>5-组合</t>
  </si>
  <si>
    <t>挂片</t>
  </si>
  <si>
    <t>挂片/配片</t>
  </si>
  <si>
    <t>B+</t>
  </si>
  <si>
    <t>四线合侧缝*2</t>
  </si>
  <si>
    <t>电脑四线锁边车</t>
  </si>
  <si>
    <t>手工免烫模板贴肶袋连落袋盖暗线*2</t>
  </si>
  <si>
    <t>分成了2个工序44/45</t>
  </si>
  <si>
    <t>实样扫粉肶袋及袋盖位*2</t>
  </si>
  <si>
    <t>模板贴侧袋及袋盖*2</t>
  </si>
  <si>
    <t>平车贴侧弧形肶袋三边*2</t>
  </si>
  <si>
    <t>原工时74.8秒，增加20秒</t>
  </si>
  <si>
    <t>平车压袋盖线*2</t>
  </si>
  <si>
    <t>平车压袋盖明线*2</t>
  </si>
  <si>
    <t>原工时49.6秒，减掉20秒给到45工序</t>
  </si>
  <si>
    <t>平车合前浪一段*1</t>
  </si>
  <si>
    <t>平车固定前门襟一段连固定上端*1（车台定位）</t>
  </si>
  <si>
    <t>四线合前浪及门襟*1</t>
  </si>
  <si>
    <t>四线合前浪及门襟位*1</t>
  </si>
  <si>
    <t>平车实样压门襟“J”型线*1</t>
  </si>
  <si>
    <t>四线合后浪</t>
  </si>
  <si>
    <t>四线合后浪*1</t>
  </si>
  <si>
    <t>四线对位合底浪*1</t>
  </si>
  <si>
    <t>#四线对位合底浪*1</t>
  </si>
  <si>
    <t>平车固定底浪十字缝加固线*1</t>
  </si>
  <si>
    <t>平车固定底浪十字缝加固线*1（倒针固定）</t>
  </si>
  <si>
    <t>四线对位上腰头</t>
  </si>
  <si>
    <t>四线对位上腰头暗线*1（比口袋位高低）</t>
  </si>
  <si>
    <t>平车订尺码标及洗水标于后中腰缝*1</t>
  </si>
  <si>
    <t>拆腰头前后中缝固定线</t>
  </si>
  <si>
    <t>#拆腰头前后中缝固定线</t>
  </si>
  <si>
    <t>手工翻裤子*1</t>
  </si>
  <si>
    <t>四线对位上脚口*2</t>
  </si>
  <si>
    <t>#四线对位上脚口*2（脚口已固定）</t>
  </si>
  <si>
    <t>中查</t>
  </si>
  <si>
    <t>检验</t>
  </si>
  <si>
    <t>成衣搬运至车间</t>
  </si>
  <si>
    <t>Y138</t>
  </si>
  <si>
    <t>成衣搬运至车间（28284件）</t>
  </si>
  <si>
    <t>成衣搬运至仓库</t>
  </si>
  <si>
    <t>Y139</t>
  </si>
  <si>
    <t>成衣搬运至仓库（28284件）</t>
  </si>
  <si>
    <t>成品订标差价（打开、折叠成衣）</t>
  </si>
  <si>
    <t>Y140</t>
  </si>
  <si>
    <t>成品订标差价（打开、折叠成衣28284件）</t>
  </si>
  <si>
    <t>6-专机</t>
  </si>
  <si>
    <t>穿腰绳*1及比好长短</t>
  </si>
  <si>
    <t>打腰头后中枣*1</t>
  </si>
  <si>
    <t>打腰头后中枣*1（固定腰绳 长枣）</t>
  </si>
  <si>
    <t>电脑打枣车</t>
  </si>
  <si>
    <t>打前袋口枣及门襟枣*5</t>
  </si>
  <si>
    <t>打侧袋口袋盖枣*8</t>
  </si>
  <si>
    <t>打侧袋口袋盖枣*8（半成品操作）</t>
  </si>
  <si>
    <t>7-尾部</t>
  </si>
  <si>
    <t>大烫*1</t>
  </si>
  <si>
    <t>整烫（尾部）</t>
  </si>
  <si>
    <t>检验/修剪线毛</t>
  </si>
  <si>
    <t>分色/分码</t>
  </si>
  <si>
    <t>分PO</t>
  </si>
  <si>
    <t>机打腰卡*1</t>
  </si>
  <si>
    <t>EE</t>
  </si>
  <si>
    <t>贴条形贴纸*1</t>
  </si>
  <si>
    <t>枪打吊牌*1</t>
  </si>
  <si>
    <t>手工打腰绳蝴蝶结*1</t>
  </si>
  <si>
    <t>查码</t>
  </si>
  <si>
    <t>验针</t>
  </si>
  <si>
    <t>手工单件折叠*1</t>
  </si>
  <si>
    <t>单件装袋自封袋放干燥剂（网单）</t>
  </si>
  <si>
    <t>贴胶袋贴纸*1(网单）</t>
  </si>
  <si>
    <t>包装搬运</t>
  </si>
  <si>
    <t>装箱前检查包装</t>
  </si>
  <si>
    <t>配比（混色混码装）</t>
  </si>
  <si>
    <t>单色单码36件(写箱号 贴箱贴 封箱 装箱 放天地板 封箱 称箱 放箱)</t>
  </si>
  <si>
    <t>拉箱入库</t>
  </si>
  <si>
    <t>Y135</t>
  </si>
  <si>
    <t>云南回货成品箱更换箱贴纸*2(箱)</t>
  </si>
  <si>
    <t>Y136</t>
  </si>
  <si>
    <t>拆箱换箱、写箱号、贴箱贴、称重、拉货入库)684件</t>
  </si>
  <si>
    <t>制表人：赖菊       审核：　　　    　 审批：　        批准：                          　　　　</t>
  </si>
  <si>
    <t>部门</t>
  </si>
  <si>
    <t>工段</t>
  </si>
  <si>
    <t>包号条码</t>
  </si>
  <si>
    <t>包号</t>
  </si>
  <si>
    <t>床号</t>
  </si>
  <si>
    <t>合同号</t>
  </si>
  <si>
    <t>款号</t>
  </si>
  <si>
    <t>本厂编号</t>
  </si>
  <si>
    <t>PO#</t>
  </si>
  <si>
    <t>颜色</t>
  </si>
  <si>
    <t>尺码</t>
  </si>
  <si>
    <t>工序ID</t>
  </si>
  <si>
    <t>工序</t>
  </si>
  <si>
    <t>次品</t>
  </si>
  <si>
    <t>无标</t>
  </si>
  <si>
    <t>*正品数</t>
  </si>
  <si>
    <t>*班组</t>
  </si>
  <si>
    <t>*员工编号</t>
  </si>
  <si>
    <t>员工姓名</t>
  </si>
  <si>
    <t>*产量日期</t>
  </si>
  <si>
    <t>创建人</t>
  </si>
  <si>
    <t>创建时间</t>
  </si>
  <si>
    <t>修改人</t>
  </si>
  <si>
    <t>修改时间</t>
  </si>
  <si>
    <t>缝制车间</t>
  </si>
  <si>
    <t>缝制</t>
  </si>
  <si>
    <t>2509040060418</t>
  </si>
  <si>
    <t>AAV10281</t>
  </si>
  <si>
    <t>军绿色</t>
  </si>
  <si>
    <t>2XL</t>
  </si>
  <si>
    <t>平车落前袋口暗线连压暗边线</t>
  </si>
  <si>
    <t>隆昌缝制五组</t>
  </si>
  <si>
    <t>廖运辉</t>
  </si>
  <si>
    <t>2509040060416</t>
  </si>
  <si>
    <t>2509040060417</t>
  </si>
  <si>
    <t>2509040060414</t>
  </si>
  <si>
    <t>2509040060415</t>
  </si>
  <si>
    <t>2509040060420</t>
  </si>
  <si>
    <t>2509040060419</t>
  </si>
  <si>
    <t>2509040070424</t>
  </si>
  <si>
    <t>S</t>
  </si>
  <si>
    <t>2509040070422</t>
  </si>
  <si>
    <t>2509040070423</t>
  </si>
  <si>
    <t>2509040070426</t>
  </si>
  <si>
    <t>2509040070427</t>
  </si>
  <si>
    <t>2509040070425</t>
  </si>
  <si>
    <t>2509040070421</t>
  </si>
  <si>
    <t>2509040030325</t>
  </si>
  <si>
    <t>M</t>
  </si>
  <si>
    <t>2509040030323</t>
  </si>
  <si>
    <t>2509040070432</t>
  </si>
  <si>
    <t>2509040070428</t>
  </si>
  <si>
    <t>2509040070430</t>
  </si>
  <si>
    <t>2509040070431</t>
  </si>
  <si>
    <t>2509040070433</t>
  </si>
  <si>
    <t>2509040070429</t>
  </si>
  <si>
    <t>2509040070434</t>
  </si>
  <si>
    <t>求和项:*正品数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</si>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</sst>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</numFmts>
  <fonts count="27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color rgb="FFFF0000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9" borderId="9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10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1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>
      <alignment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>
      <alignment horizontal="left" vertical="center" wrapText="1"/>
    </xf>
    <xf numFmtId="49" fontId="1" fillId="0" borderId="4" xfId="0" applyNumberFormat="1" applyFont="1" applyFill="1" applyBorder="1" applyAlignment="1">
      <alignment horizontal="left" vertical="center"/>
    </xf>
    <xf numFmtId="0" fontId="1" fillId="0" borderId="1" xfId="0" applyFont="1" applyFill="1" applyBorder="1">
      <alignment vertical="center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 wrapText="1"/>
    </xf>
    <xf numFmtId="9" fontId="1" fillId="0" borderId="2" xfId="0" applyNumberFormat="1" applyFont="1" applyFill="1" applyBorder="1" applyAlignment="1">
      <alignment horizontal="left" vertical="center"/>
    </xf>
    <xf numFmtId="9" fontId="1" fillId="0" borderId="3" xfId="0" applyNumberFormat="1" applyFont="1" applyFill="1" applyBorder="1" applyAlignment="1">
      <alignment horizontal="left" vertical="center"/>
    </xf>
    <xf numFmtId="9" fontId="1" fillId="0" borderId="3" xfId="0" applyNumberFormat="1" applyFont="1" applyFill="1" applyBorder="1" applyAlignment="1">
      <alignment horizontal="left" vertical="center" wrapText="1"/>
    </xf>
    <xf numFmtId="9" fontId="1" fillId="0" borderId="4" xfId="0" applyNumberFormat="1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vertical="center" wrapText="1"/>
    </xf>
    <xf numFmtId="49" fontId="1" fillId="0" borderId="1" xfId="0" applyNumberFormat="1" applyFont="1" applyFill="1" applyBorder="1" applyAlignment="1">
      <alignment vertical="center"/>
    </xf>
    <xf numFmtId="176" fontId="1" fillId="0" borderId="1" xfId="0" applyNumberFormat="1" applyFont="1" applyFill="1" applyBorder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vertical="center" wrapText="1"/>
    </xf>
    <xf numFmtId="49" fontId="1" fillId="4" borderId="1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vertical="center" wrapText="1"/>
    </xf>
    <xf numFmtId="49" fontId="3" fillId="4" borderId="1" xfId="0" applyNumberFormat="1" applyFont="1" applyFill="1" applyBorder="1" applyAlignment="1">
      <alignment vertical="center" wrapText="1"/>
    </xf>
    <xf numFmtId="49" fontId="3" fillId="4" borderId="1" xfId="0" applyNumberFormat="1" applyFont="1" applyFill="1" applyBorder="1" applyAlignment="1">
      <alignment vertical="center"/>
    </xf>
    <xf numFmtId="176" fontId="3" fillId="4" borderId="1" xfId="0" applyNumberFormat="1" applyFont="1" applyFill="1" applyBorder="1">
      <alignment vertical="center"/>
    </xf>
    <xf numFmtId="0" fontId="3" fillId="4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vertical="center" wrapText="1"/>
    </xf>
    <xf numFmtId="49" fontId="3" fillId="5" borderId="1" xfId="0" applyNumberFormat="1" applyFont="1" applyFill="1" applyBorder="1" applyAlignment="1">
      <alignment vertical="center" wrapText="1"/>
    </xf>
    <xf numFmtId="49" fontId="3" fillId="5" borderId="1" xfId="0" applyNumberFormat="1" applyFont="1" applyFill="1" applyBorder="1" applyAlignment="1">
      <alignment vertical="center"/>
    </xf>
    <xf numFmtId="176" fontId="3" fillId="5" borderId="1" xfId="0" applyNumberFormat="1" applyFont="1" applyFill="1" applyBorder="1">
      <alignment vertical="center"/>
    </xf>
    <xf numFmtId="0" fontId="3" fillId="5" borderId="1" xfId="0" applyFont="1" applyFill="1" applyBorder="1" applyAlignment="1">
      <alignment horizontal="center" vertical="center"/>
    </xf>
    <xf numFmtId="177" fontId="1" fillId="0" borderId="1" xfId="0" applyNumberFormat="1" applyFont="1" applyFill="1" applyBorder="1">
      <alignment vertical="center"/>
    </xf>
    <xf numFmtId="49" fontId="1" fillId="6" borderId="1" xfId="0" applyNumberFormat="1" applyFont="1" applyFill="1" applyBorder="1" applyAlignment="1">
      <alignment vertical="center" wrapText="1"/>
    </xf>
    <xf numFmtId="177" fontId="3" fillId="4" borderId="1" xfId="0" applyNumberFormat="1" applyFont="1" applyFill="1" applyBorder="1">
      <alignment vertical="center"/>
    </xf>
    <xf numFmtId="0" fontId="3" fillId="0" borderId="0" xfId="0" applyFont="1">
      <alignment vertical="center"/>
    </xf>
    <xf numFmtId="177" fontId="3" fillId="5" borderId="1" xfId="0" applyNumberFormat="1" applyFont="1" applyFill="1" applyBorder="1">
      <alignment vertical="center"/>
    </xf>
    <xf numFmtId="0" fontId="1" fillId="0" borderId="0" xfId="0" applyFont="1" applyAlignment="1">
      <alignment vertical="center" wrapText="1"/>
    </xf>
    <xf numFmtId="49" fontId="3" fillId="0" borderId="1" xfId="0" applyNumberFormat="1" applyFont="1" applyFill="1" applyBorder="1" applyAlignment="1">
      <alignment vertical="center"/>
    </xf>
    <xf numFmtId="176" fontId="3" fillId="0" borderId="1" xfId="0" applyNumberFormat="1" applyFont="1" applyFill="1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0" fontId="7" fillId="0" borderId="1" xfId="0" applyFont="1" applyFill="1" applyBorder="1">
      <alignment vertical="center"/>
    </xf>
    <xf numFmtId="0" fontId="2" fillId="4" borderId="1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vertical="center" wrapText="1"/>
    </xf>
    <xf numFmtId="49" fontId="1" fillId="0" borderId="0" xfId="0" applyNumberFormat="1" applyFont="1" applyFill="1" applyAlignment="1">
      <alignment vertical="center"/>
    </xf>
    <xf numFmtId="176" fontId="1" fillId="0" borderId="0" xfId="0" applyNumberFormat="1" applyFont="1" applyFill="1">
      <alignment vertical="center"/>
    </xf>
    <xf numFmtId="177" fontId="3" fillId="0" borderId="1" xfId="0" applyNumberFormat="1" applyFont="1" applyFill="1" applyBorder="1">
      <alignment vertical="center"/>
    </xf>
    <xf numFmtId="0" fontId="3" fillId="4" borderId="0" xfId="0" applyFont="1" applyFill="1">
      <alignment vertical="center"/>
    </xf>
    <xf numFmtId="177" fontId="1" fillId="0" borderId="0" xfId="0" applyNumberFormat="1" applyFont="1" applyFill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149225</xdr:colOff>
      <xdr:row>0</xdr:row>
      <xdr:rowOff>635</xdr:rowOff>
    </xdr:from>
    <xdr:to>
      <xdr:col>8</xdr:col>
      <xdr:colOff>509270</xdr:colOff>
      <xdr:row>10</xdr:row>
      <xdr:rowOff>179070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69100" y="635"/>
          <a:ext cx="2103120" cy="19786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09.3480555556" refreshedBy="Administrator" recordCount="23">
  <cacheSource type="worksheet">
    <worksheetSource ref="A1:V24" sheet="Sheet1"/>
  </cacheSource>
  <cacheFields count="22">
    <cacheField name="部门" numFmtId="0">
      <sharedItems count="1">
        <s v="缝制车间"/>
      </sharedItems>
    </cacheField>
    <cacheField name="工段" numFmtId="0">
      <sharedItems count="1">
        <s v="缝制"/>
      </sharedItems>
    </cacheField>
    <cacheField name="包号条码" numFmtId="0">
      <sharedItems count="23">
        <s v="2509040060418"/>
        <s v="2509040060416"/>
        <s v="2509040060417"/>
        <s v="2509040060414"/>
        <s v="2509040060415"/>
        <s v="2509040060420"/>
        <s v="2509040060419"/>
        <s v="2509040070424"/>
        <s v="2509040070422"/>
        <s v="2509040070423"/>
        <s v="2509040070426"/>
        <s v="2509040070427"/>
        <s v="2509040070425"/>
        <s v="2509040070421"/>
        <s v="2509040030325"/>
        <s v="2509040030323"/>
        <s v="2509040070432"/>
        <s v="2509040070428"/>
        <s v="2509040070430"/>
        <s v="2509040070431"/>
        <s v="2509040070433"/>
        <s v="2509040070429"/>
        <s v="2509040070434"/>
      </sharedItems>
    </cacheField>
    <cacheField name="包号" numFmtId="0">
      <sharedItems containsSemiMixedTypes="0" containsString="0" containsNumber="1" containsInteger="1" minValue="0" maxValue="434" count="23">
        <n v="418"/>
        <n v="416"/>
        <n v="417"/>
        <n v="414"/>
        <n v="415"/>
        <n v="420"/>
        <n v="419"/>
        <n v="424"/>
        <n v="422"/>
        <n v="423"/>
        <n v="426"/>
        <n v="427"/>
        <n v="425"/>
        <n v="421"/>
        <n v="325"/>
        <n v="323"/>
        <n v="432"/>
        <n v="428"/>
        <n v="430"/>
        <n v="431"/>
        <n v="433"/>
        <n v="429"/>
        <n v="434"/>
      </sharedItems>
    </cacheField>
    <cacheField name="床号" numFmtId="0">
      <sharedItems containsSemiMixedTypes="0" containsString="0" containsNumber="1" containsInteger="1" minValue="0" maxValue="15" count="3">
        <n v="14"/>
        <n v="15"/>
        <n v="12"/>
      </sharedItems>
    </cacheField>
    <cacheField name="合同号" numFmtId="0">
      <sharedItems count="1">
        <s v="AAV10281"/>
      </sharedItems>
    </cacheField>
    <cacheField name="款号" numFmtId="0">
      <sharedItems count="1">
        <s v="AAV10281"/>
      </sharedItems>
    </cacheField>
    <cacheField name="本厂编号" numFmtId="0">
      <sharedItems containsSemiMixedTypes="0" containsString="0" containsNumber="1" containsInteger="1" minValue="0" maxValue="27393" count="1">
        <n v="27393"/>
      </sharedItems>
    </cacheField>
    <cacheField name="PO#" numFmtId="0">
      <sharedItems containsString="0" containsBlank="1" containsNonDate="0" count="1">
        <m/>
      </sharedItems>
    </cacheField>
    <cacheField name="颜色" numFmtId="0">
      <sharedItems count="1">
        <s v="军绿色"/>
      </sharedItems>
    </cacheField>
    <cacheField name="尺码" numFmtId="0">
      <sharedItems count="3">
        <s v="2XL"/>
        <s v="S"/>
        <s v="M"/>
      </sharedItems>
    </cacheField>
    <cacheField name="工序ID" numFmtId="0">
      <sharedItems containsSemiMixedTypes="0" containsString="0" containsNumber="1" containsInteger="1" minValue="0" maxValue="10576" count="1">
        <n v="10576"/>
      </sharedItems>
    </cacheField>
    <cacheField name="工序" numFmtId="0">
      <sharedItems count="1">
        <s v="平车落前袋口暗线连压暗边线"/>
      </sharedItems>
    </cacheField>
    <cacheField name="次品" numFmtId="0">
      <sharedItems containsString="0" containsBlank="1" containsNonDate="0" count="1">
        <m/>
      </sharedItems>
    </cacheField>
    <cacheField name="无标" numFmtId="0">
      <sharedItems containsString="0" containsBlank="1" containsNonDate="0" count="1">
        <m/>
      </sharedItems>
    </cacheField>
    <cacheField name="*正品数" numFmtId="0">
      <sharedItems containsSemiMixedTypes="0" containsString="0" containsNumber="1" containsInteger="1" minValue="0" maxValue="17" count="8">
        <n v="16"/>
        <n v="11"/>
        <n v="15"/>
        <n v="12"/>
        <n v="8"/>
        <n v="14"/>
        <n v="17"/>
        <n v="7"/>
      </sharedItems>
    </cacheField>
    <cacheField name="*班组" numFmtId="0">
      <sharedItems count="1">
        <s v="隆昌缝制五组"/>
      </sharedItems>
    </cacheField>
    <cacheField name="*员工编号" numFmtId="0">
      <sharedItems containsSemiMixedTypes="0" containsString="0" containsNumber="1" containsInteger="1" minValue="0" maxValue="100563997" count="1">
        <n v="100563997"/>
      </sharedItems>
    </cacheField>
    <cacheField name="员工姓名" numFmtId="0">
      <sharedItems count="1">
        <s v="廖运辉"/>
      </sharedItems>
    </cacheField>
    <cacheField name="*产量日期" numFmtId="22">
      <sharedItems containsSemiMixedTypes="0" containsString="0" containsNonDate="0" containsDate="1" minDate="2025-09-07T19:55:32" maxDate="2025-09-08T12:31:33" count="23">
        <d v="2025-09-07T19:55:32"/>
        <d v="2025-09-07T19:55:42"/>
        <d v="2025-09-07T19:56:08"/>
        <d v="2025-09-07T19:56:24"/>
        <d v="2025-09-07T19:56:31"/>
        <d v="2025-09-07T19:56:43"/>
        <d v="2025-09-07T19:56:50"/>
        <d v="2025-09-08T08:35:01"/>
        <d v="2025-09-08T08:35:31"/>
        <d v="2025-09-08T08:45:32"/>
        <d v="2025-09-08T09:16:24"/>
        <d v="2025-09-08T09:44:13"/>
        <d v="2025-09-08T10:29:10"/>
        <d v="2025-09-08T10:53:17"/>
        <d v="2025-09-08T11:41:50"/>
        <d v="2025-09-08T11:42:01"/>
        <d v="2025-09-08T12:29:45"/>
        <d v="2025-09-08T12:30:32"/>
        <d v="2025-09-08T12:30:51"/>
        <d v="2025-09-08T12:31:03"/>
        <d v="2025-09-08T12:31:16"/>
        <d v="2025-09-08T12:31:27"/>
        <d v="2025-09-08T12:31:33"/>
      </sharedItems>
    </cacheField>
    <cacheField name="创建人" numFmtId="0">
      <sharedItems count="1">
        <s v="廖运辉"/>
      </sharedItems>
    </cacheField>
    <cacheField name="创建时间" numFmtId="22">
      <sharedItems containsSemiMixedTypes="0" containsString="0" containsNonDate="0" containsDate="1" minDate="2025-09-07T19:55:33" maxDate="2025-09-08T12:31:34" count="23">
        <d v="2025-09-07T19:55:33"/>
        <d v="2025-09-07T19:55:43"/>
        <d v="2025-09-07T19:56:09"/>
        <d v="2025-09-07T19:56:24"/>
        <d v="2025-09-07T19:56:31"/>
        <d v="2025-09-07T19:56:44"/>
        <d v="2025-09-07T19:56:51"/>
        <d v="2025-09-08T08:35:01"/>
        <d v="2025-09-08T08:35:32"/>
        <d v="2025-09-08T08:45:33"/>
        <d v="2025-09-08T09:16:24"/>
        <d v="2025-09-08T09:44:13"/>
        <d v="2025-09-08T10:29:10"/>
        <d v="2025-09-08T10:53:17"/>
        <d v="2025-09-08T11:41:51"/>
        <d v="2025-09-08T11:42:02"/>
        <d v="2025-09-08T12:29:45"/>
        <d v="2025-09-08T12:30:33"/>
        <d v="2025-09-08T12:30:51"/>
        <d v="2025-09-08T12:31:03"/>
        <d v="2025-09-08T12:31:16"/>
        <d v="2025-09-08T12:31:28"/>
        <d v="2025-09-08T12:31:34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1"/>
  </r>
  <r>
    <x v="0"/>
    <x v="0"/>
    <x v="2"/>
    <x v="2"/>
    <x v="0"/>
    <x v="0"/>
    <x v="0"/>
    <x v="0"/>
    <x v="0"/>
    <x v="0"/>
    <x v="0"/>
    <x v="0"/>
    <x v="0"/>
    <x v="0"/>
    <x v="0"/>
    <x v="1"/>
    <x v="0"/>
    <x v="0"/>
    <x v="0"/>
    <x v="2"/>
    <x v="0"/>
    <x v="2"/>
  </r>
  <r>
    <x v="0"/>
    <x v="0"/>
    <x v="3"/>
    <x v="3"/>
    <x v="0"/>
    <x v="0"/>
    <x v="0"/>
    <x v="0"/>
    <x v="0"/>
    <x v="0"/>
    <x v="0"/>
    <x v="0"/>
    <x v="0"/>
    <x v="0"/>
    <x v="0"/>
    <x v="2"/>
    <x v="0"/>
    <x v="0"/>
    <x v="0"/>
    <x v="3"/>
    <x v="0"/>
    <x v="3"/>
  </r>
  <r>
    <x v="0"/>
    <x v="0"/>
    <x v="4"/>
    <x v="4"/>
    <x v="0"/>
    <x v="0"/>
    <x v="0"/>
    <x v="0"/>
    <x v="0"/>
    <x v="0"/>
    <x v="0"/>
    <x v="0"/>
    <x v="0"/>
    <x v="0"/>
    <x v="0"/>
    <x v="0"/>
    <x v="0"/>
    <x v="0"/>
    <x v="0"/>
    <x v="4"/>
    <x v="0"/>
    <x v="4"/>
  </r>
  <r>
    <x v="0"/>
    <x v="0"/>
    <x v="5"/>
    <x v="5"/>
    <x v="0"/>
    <x v="0"/>
    <x v="0"/>
    <x v="0"/>
    <x v="0"/>
    <x v="0"/>
    <x v="0"/>
    <x v="0"/>
    <x v="0"/>
    <x v="0"/>
    <x v="0"/>
    <x v="0"/>
    <x v="0"/>
    <x v="0"/>
    <x v="0"/>
    <x v="5"/>
    <x v="0"/>
    <x v="5"/>
  </r>
  <r>
    <x v="0"/>
    <x v="0"/>
    <x v="6"/>
    <x v="6"/>
    <x v="0"/>
    <x v="0"/>
    <x v="0"/>
    <x v="0"/>
    <x v="0"/>
    <x v="0"/>
    <x v="0"/>
    <x v="0"/>
    <x v="0"/>
    <x v="0"/>
    <x v="0"/>
    <x v="3"/>
    <x v="0"/>
    <x v="0"/>
    <x v="0"/>
    <x v="6"/>
    <x v="0"/>
    <x v="6"/>
  </r>
  <r>
    <x v="0"/>
    <x v="0"/>
    <x v="7"/>
    <x v="7"/>
    <x v="1"/>
    <x v="0"/>
    <x v="0"/>
    <x v="0"/>
    <x v="0"/>
    <x v="0"/>
    <x v="1"/>
    <x v="0"/>
    <x v="0"/>
    <x v="0"/>
    <x v="0"/>
    <x v="0"/>
    <x v="0"/>
    <x v="0"/>
    <x v="0"/>
    <x v="7"/>
    <x v="0"/>
    <x v="7"/>
  </r>
  <r>
    <x v="0"/>
    <x v="0"/>
    <x v="8"/>
    <x v="8"/>
    <x v="1"/>
    <x v="0"/>
    <x v="0"/>
    <x v="0"/>
    <x v="0"/>
    <x v="0"/>
    <x v="1"/>
    <x v="0"/>
    <x v="0"/>
    <x v="0"/>
    <x v="0"/>
    <x v="4"/>
    <x v="0"/>
    <x v="0"/>
    <x v="0"/>
    <x v="8"/>
    <x v="0"/>
    <x v="8"/>
  </r>
  <r>
    <x v="0"/>
    <x v="0"/>
    <x v="9"/>
    <x v="9"/>
    <x v="1"/>
    <x v="0"/>
    <x v="0"/>
    <x v="0"/>
    <x v="0"/>
    <x v="0"/>
    <x v="1"/>
    <x v="0"/>
    <x v="0"/>
    <x v="0"/>
    <x v="0"/>
    <x v="0"/>
    <x v="0"/>
    <x v="0"/>
    <x v="0"/>
    <x v="9"/>
    <x v="0"/>
    <x v="9"/>
  </r>
  <r>
    <x v="0"/>
    <x v="0"/>
    <x v="10"/>
    <x v="10"/>
    <x v="1"/>
    <x v="0"/>
    <x v="0"/>
    <x v="0"/>
    <x v="0"/>
    <x v="0"/>
    <x v="1"/>
    <x v="0"/>
    <x v="0"/>
    <x v="0"/>
    <x v="0"/>
    <x v="0"/>
    <x v="0"/>
    <x v="0"/>
    <x v="0"/>
    <x v="10"/>
    <x v="0"/>
    <x v="10"/>
  </r>
  <r>
    <x v="0"/>
    <x v="0"/>
    <x v="11"/>
    <x v="11"/>
    <x v="1"/>
    <x v="0"/>
    <x v="0"/>
    <x v="0"/>
    <x v="0"/>
    <x v="0"/>
    <x v="1"/>
    <x v="0"/>
    <x v="0"/>
    <x v="0"/>
    <x v="0"/>
    <x v="5"/>
    <x v="0"/>
    <x v="0"/>
    <x v="0"/>
    <x v="11"/>
    <x v="0"/>
    <x v="11"/>
  </r>
  <r>
    <x v="0"/>
    <x v="0"/>
    <x v="12"/>
    <x v="12"/>
    <x v="1"/>
    <x v="0"/>
    <x v="0"/>
    <x v="0"/>
    <x v="0"/>
    <x v="0"/>
    <x v="1"/>
    <x v="0"/>
    <x v="0"/>
    <x v="0"/>
    <x v="0"/>
    <x v="6"/>
    <x v="0"/>
    <x v="0"/>
    <x v="0"/>
    <x v="12"/>
    <x v="0"/>
    <x v="12"/>
  </r>
  <r>
    <x v="0"/>
    <x v="0"/>
    <x v="13"/>
    <x v="13"/>
    <x v="1"/>
    <x v="0"/>
    <x v="0"/>
    <x v="0"/>
    <x v="0"/>
    <x v="0"/>
    <x v="1"/>
    <x v="0"/>
    <x v="0"/>
    <x v="0"/>
    <x v="0"/>
    <x v="0"/>
    <x v="0"/>
    <x v="0"/>
    <x v="0"/>
    <x v="13"/>
    <x v="0"/>
    <x v="13"/>
  </r>
  <r>
    <x v="0"/>
    <x v="0"/>
    <x v="14"/>
    <x v="14"/>
    <x v="2"/>
    <x v="0"/>
    <x v="0"/>
    <x v="0"/>
    <x v="0"/>
    <x v="0"/>
    <x v="2"/>
    <x v="0"/>
    <x v="0"/>
    <x v="0"/>
    <x v="0"/>
    <x v="7"/>
    <x v="0"/>
    <x v="0"/>
    <x v="0"/>
    <x v="14"/>
    <x v="0"/>
    <x v="14"/>
  </r>
  <r>
    <x v="0"/>
    <x v="0"/>
    <x v="15"/>
    <x v="15"/>
    <x v="2"/>
    <x v="0"/>
    <x v="0"/>
    <x v="0"/>
    <x v="0"/>
    <x v="0"/>
    <x v="1"/>
    <x v="0"/>
    <x v="0"/>
    <x v="0"/>
    <x v="0"/>
    <x v="7"/>
    <x v="0"/>
    <x v="0"/>
    <x v="0"/>
    <x v="15"/>
    <x v="0"/>
    <x v="15"/>
  </r>
  <r>
    <x v="0"/>
    <x v="0"/>
    <x v="16"/>
    <x v="16"/>
    <x v="1"/>
    <x v="0"/>
    <x v="0"/>
    <x v="0"/>
    <x v="0"/>
    <x v="0"/>
    <x v="2"/>
    <x v="0"/>
    <x v="0"/>
    <x v="0"/>
    <x v="0"/>
    <x v="6"/>
    <x v="0"/>
    <x v="0"/>
    <x v="0"/>
    <x v="16"/>
    <x v="0"/>
    <x v="16"/>
  </r>
  <r>
    <x v="0"/>
    <x v="0"/>
    <x v="17"/>
    <x v="17"/>
    <x v="1"/>
    <x v="0"/>
    <x v="0"/>
    <x v="0"/>
    <x v="0"/>
    <x v="0"/>
    <x v="2"/>
    <x v="0"/>
    <x v="0"/>
    <x v="0"/>
    <x v="0"/>
    <x v="0"/>
    <x v="0"/>
    <x v="0"/>
    <x v="0"/>
    <x v="17"/>
    <x v="0"/>
    <x v="17"/>
  </r>
  <r>
    <x v="0"/>
    <x v="0"/>
    <x v="18"/>
    <x v="18"/>
    <x v="1"/>
    <x v="0"/>
    <x v="0"/>
    <x v="0"/>
    <x v="0"/>
    <x v="0"/>
    <x v="2"/>
    <x v="0"/>
    <x v="0"/>
    <x v="0"/>
    <x v="0"/>
    <x v="0"/>
    <x v="0"/>
    <x v="0"/>
    <x v="0"/>
    <x v="18"/>
    <x v="0"/>
    <x v="18"/>
  </r>
  <r>
    <x v="0"/>
    <x v="0"/>
    <x v="19"/>
    <x v="19"/>
    <x v="1"/>
    <x v="0"/>
    <x v="0"/>
    <x v="0"/>
    <x v="0"/>
    <x v="0"/>
    <x v="2"/>
    <x v="0"/>
    <x v="0"/>
    <x v="0"/>
    <x v="0"/>
    <x v="0"/>
    <x v="0"/>
    <x v="0"/>
    <x v="0"/>
    <x v="19"/>
    <x v="0"/>
    <x v="19"/>
  </r>
  <r>
    <x v="0"/>
    <x v="0"/>
    <x v="20"/>
    <x v="20"/>
    <x v="1"/>
    <x v="0"/>
    <x v="0"/>
    <x v="0"/>
    <x v="0"/>
    <x v="0"/>
    <x v="2"/>
    <x v="0"/>
    <x v="0"/>
    <x v="0"/>
    <x v="0"/>
    <x v="0"/>
    <x v="0"/>
    <x v="0"/>
    <x v="0"/>
    <x v="20"/>
    <x v="0"/>
    <x v="20"/>
  </r>
  <r>
    <x v="0"/>
    <x v="0"/>
    <x v="21"/>
    <x v="21"/>
    <x v="1"/>
    <x v="0"/>
    <x v="0"/>
    <x v="0"/>
    <x v="0"/>
    <x v="0"/>
    <x v="2"/>
    <x v="0"/>
    <x v="0"/>
    <x v="0"/>
    <x v="0"/>
    <x v="4"/>
    <x v="0"/>
    <x v="0"/>
    <x v="0"/>
    <x v="21"/>
    <x v="0"/>
    <x v="21"/>
  </r>
  <r>
    <x v="0"/>
    <x v="0"/>
    <x v="22"/>
    <x v="22"/>
    <x v="1"/>
    <x v="0"/>
    <x v="0"/>
    <x v="0"/>
    <x v="0"/>
    <x v="0"/>
    <x v="2"/>
    <x v="0"/>
    <x v="0"/>
    <x v="0"/>
    <x v="0"/>
    <x v="5"/>
    <x v="0"/>
    <x v="0"/>
    <x v="0"/>
    <x v="22"/>
    <x v="0"/>
    <x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G30:I33" firstHeaderRow="1" firstDataRow="1" firstDataCol="2"/>
  <pivotFields count="22"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4">
        <item x="15"/>
        <item x="14"/>
        <item x="3"/>
        <item x="4"/>
        <item x="1"/>
        <item x="2"/>
        <item x="0"/>
        <item x="6"/>
        <item x="5"/>
        <item x="13"/>
        <item x="8"/>
        <item x="9"/>
        <item x="7"/>
        <item x="12"/>
        <item x="10"/>
        <item x="11"/>
        <item x="17"/>
        <item x="21"/>
        <item x="18"/>
        <item x="19"/>
        <item x="16"/>
        <item x="20"/>
        <item x="22"/>
        <item t="default"/>
      </items>
    </pivotField>
    <pivotField compact="0" showAll="0">
      <items count="24">
        <item x="15"/>
        <item x="14"/>
        <item x="3"/>
        <item x="4"/>
        <item x="1"/>
        <item x="2"/>
        <item x="0"/>
        <item x="6"/>
        <item x="5"/>
        <item x="13"/>
        <item x="8"/>
        <item x="9"/>
        <item x="7"/>
        <item x="12"/>
        <item x="10"/>
        <item x="11"/>
        <item x="17"/>
        <item x="21"/>
        <item x="18"/>
        <item x="19"/>
        <item x="16"/>
        <item x="20"/>
        <item x="22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2">
        <item x="0"/>
        <item t="default"/>
      </items>
    </pivotField>
    <pivotField axis="axisRow"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dataField="1" compact="0" showAll="0">
      <items count="9">
        <item x="7"/>
        <item x="4"/>
        <item x="1"/>
        <item x="3"/>
        <item x="5"/>
        <item x="2"/>
        <item x="0"/>
        <item x="6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axis="axisRow" compact="0" showAll="0">
      <items count="2">
        <item x="0"/>
        <item t="default"/>
      </items>
    </pivotField>
    <pivotField compact="0" numFmtId="22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compact="0" showAll="0">
      <items count="2">
        <item x="0"/>
        <item t="default"/>
      </items>
    </pivotField>
    <pivotField compact="0" numFmtId="22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</pivotFields>
  <rowFields count="2">
    <field x="18"/>
    <field x="12"/>
  </rowFields>
  <rowItems count="3">
    <i>
      <x/>
    </i>
    <i r="1">
      <x/>
    </i>
    <i t="grand">
      <x/>
    </i>
  </rowItems>
  <colItems count="1">
    <i/>
  </colItems>
  <dataFields count="1">
    <dataField name="求和项:*正品数" fld="15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P122"/>
  <sheetViews>
    <sheetView tabSelected="1" view="pageBreakPreview" zoomScale="115" zoomScaleNormal="100" topLeftCell="A44" workbookViewId="0">
      <selection activeCell="B92" sqref="B92"/>
    </sheetView>
  </sheetViews>
  <sheetFormatPr defaultColWidth="9" defaultRowHeight="12"/>
  <cols>
    <col min="1" max="1" width="9.625" style="5" customWidth="1"/>
    <col min="2" max="2" width="28.75" style="5" customWidth="1"/>
    <col min="3" max="3" width="5.375" style="5" hidden="1" customWidth="1"/>
    <col min="4" max="4" width="34.25" style="7" customWidth="1"/>
    <col min="5" max="5" width="14.25" style="8" customWidth="1"/>
    <col min="6" max="9" width="7.625" style="5" customWidth="1"/>
    <col min="10" max="10" width="13.2583333333333" style="9" customWidth="1"/>
    <col min="11" max="11" width="35.25" style="9" hidden="1" customWidth="1"/>
    <col min="12" max="12" width="9" style="9" hidden="1" customWidth="1"/>
    <col min="13" max="13" width="11.125" style="9" hidden="1" customWidth="1"/>
    <col min="14" max="14" width="9" style="9" hidden="1" customWidth="1"/>
    <col min="15" max="15" width="11.125" style="9" hidden="1" customWidth="1"/>
    <col min="16" max="17" width="9" style="9" hidden="1" customWidth="1"/>
    <col min="18" max="18" width="11.125" style="9" hidden="1" customWidth="1"/>
    <col min="19" max="20" width="9" style="9" hidden="1" customWidth="1"/>
    <col min="21" max="93" width="9" style="9"/>
    <col min="94" max="94" width="48.625" style="9" customWidth="1"/>
    <col min="95" max="16384" width="9" style="9"/>
  </cols>
  <sheetData>
    <row r="1" ht="25.5" spans="1:9">
      <c r="A1" s="10" t="s">
        <v>0</v>
      </c>
      <c r="B1" s="10"/>
      <c r="C1" s="10"/>
      <c r="D1" s="11"/>
      <c r="E1" s="10"/>
      <c r="F1" s="10"/>
      <c r="G1" s="10"/>
      <c r="H1" s="10"/>
      <c r="I1" s="10"/>
    </row>
    <row r="2" ht="20.25" spans="1:9">
      <c r="A2" s="12" t="s">
        <v>1</v>
      </c>
      <c r="B2" s="12"/>
      <c r="C2" s="12"/>
      <c r="D2" s="13"/>
      <c r="E2" s="12"/>
      <c r="F2" s="12"/>
      <c r="G2" s="12"/>
      <c r="H2" s="12"/>
      <c r="I2" s="12"/>
    </row>
    <row r="3" spans="1:9">
      <c r="A3" s="14" t="s">
        <v>2</v>
      </c>
      <c r="B3" s="14"/>
      <c r="C3" s="14"/>
      <c r="D3" s="15"/>
      <c r="E3" s="14"/>
      <c r="F3" s="14"/>
      <c r="G3" s="14"/>
      <c r="H3" s="14"/>
      <c r="I3" s="14"/>
    </row>
    <row r="4" spans="1:9">
      <c r="A4" s="16" t="s">
        <v>3</v>
      </c>
      <c r="B4" s="17" t="s">
        <v>4</v>
      </c>
      <c r="C4" s="18"/>
      <c r="D4" s="19"/>
      <c r="E4" s="18"/>
      <c r="F4" s="20"/>
      <c r="G4" s="21"/>
      <c r="H4" s="21"/>
      <c r="I4" s="21"/>
    </row>
    <row r="5" spans="1:9">
      <c r="A5" s="16" t="s">
        <v>5</v>
      </c>
      <c r="B5" s="22" t="s">
        <v>6</v>
      </c>
      <c r="C5" s="23"/>
      <c r="D5" s="24"/>
      <c r="E5" s="23"/>
      <c r="F5" s="25"/>
      <c r="G5" s="21"/>
      <c r="H5" s="21"/>
      <c r="I5" s="21"/>
    </row>
    <row r="6" spans="1:9">
      <c r="A6" s="16" t="s">
        <v>7</v>
      </c>
      <c r="B6" s="17" t="s">
        <v>8</v>
      </c>
      <c r="C6" s="18"/>
      <c r="D6" s="19"/>
      <c r="E6" s="18"/>
      <c r="F6" s="20"/>
      <c r="G6" s="21"/>
      <c r="H6" s="21"/>
      <c r="I6" s="21"/>
    </row>
    <row r="7" customHeight="1" spans="1:94">
      <c r="A7" s="16" t="s">
        <v>9</v>
      </c>
      <c r="B7" s="26" t="s">
        <v>10</v>
      </c>
      <c r="C7" s="24"/>
      <c r="D7" s="24"/>
      <c r="E7" s="23"/>
      <c r="F7" s="27"/>
      <c r="G7" s="21"/>
      <c r="H7" s="21"/>
      <c r="I7" s="21"/>
      <c r="CP7" s="62"/>
    </row>
    <row r="8" customHeight="1" spans="1:94">
      <c r="A8" s="16" t="s">
        <v>11</v>
      </c>
      <c r="B8" s="26"/>
      <c r="C8" s="24"/>
      <c r="D8" s="24"/>
      <c r="E8" s="23"/>
      <c r="F8" s="27"/>
      <c r="G8" s="21"/>
      <c r="H8" s="21"/>
      <c r="I8" s="21"/>
      <c r="CP8" s="62"/>
    </row>
    <row r="9" spans="1:9">
      <c r="A9" s="16" t="s">
        <v>12</v>
      </c>
      <c r="B9" s="22">
        <v>344304</v>
      </c>
      <c r="C9" s="23"/>
      <c r="D9" s="24"/>
      <c r="E9" s="23"/>
      <c r="F9" s="25"/>
      <c r="G9" s="21"/>
      <c r="H9" s="21"/>
      <c r="I9" s="21"/>
    </row>
    <row r="10" spans="1:9">
      <c r="A10" s="28" t="s">
        <v>13</v>
      </c>
      <c r="B10" s="22">
        <f>SUM(G40:G45,G47,G51:G61,G69:G70,G73:G87)</f>
        <v>856</v>
      </c>
      <c r="C10" s="23"/>
      <c r="D10" s="24"/>
      <c r="E10" s="23"/>
      <c r="F10" s="25"/>
      <c r="G10" s="21"/>
      <c r="H10" s="21"/>
      <c r="I10" s="21"/>
    </row>
    <row r="11" ht="16" customHeight="1" spans="1:9">
      <c r="A11" s="28" t="s">
        <v>14</v>
      </c>
      <c r="B11" s="22">
        <f>37800/B10</f>
        <v>44.1588785046729</v>
      </c>
      <c r="C11" s="23"/>
      <c r="D11" s="24"/>
      <c r="E11" s="23"/>
      <c r="F11" s="25"/>
      <c r="G11" s="21"/>
      <c r="H11" s="21"/>
      <c r="I11" s="21"/>
    </row>
    <row r="12" hidden="1" spans="1:9">
      <c r="A12" s="16" t="s">
        <v>15</v>
      </c>
      <c r="B12" s="22"/>
      <c r="C12" s="23"/>
      <c r="D12" s="24"/>
      <c r="E12" s="23"/>
      <c r="F12" s="25"/>
      <c r="G12" s="21"/>
      <c r="H12" s="21"/>
      <c r="I12" s="21"/>
    </row>
    <row r="13" hidden="1" spans="1:9">
      <c r="A13" s="16" t="s">
        <v>16</v>
      </c>
      <c r="B13" s="29"/>
      <c r="C13" s="30"/>
      <c r="D13" s="31"/>
      <c r="E13" s="30"/>
      <c r="F13" s="32"/>
      <c r="G13" s="21"/>
      <c r="H13" s="21"/>
      <c r="I13" s="21"/>
    </row>
    <row r="14" hidden="1" spans="1:9">
      <c r="A14" s="28" t="s">
        <v>17</v>
      </c>
      <c r="B14" s="22"/>
      <c r="C14" s="23"/>
      <c r="D14" s="24"/>
      <c r="E14" s="23"/>
      <c r="F14" s="25"/>
      <c r="G14" s="21"/>
      <c r="H14" s="21"/>
      <c r="I14" s="21"/>
    </row>
    <row r="15" hidden="1" spans="1:9">
      <c r="A15" s="28" t="s">
        <v>18</v>
      </c>
      <c r="B15" s="22"/>
      <c r="C15" s="23"/>
      <c r="D15" s="24"/>
      <c r="E15" s="23"/>
      <c r="F15" s="25"/>
      <c r="G15" s="21"/>
      <c r="H15" s="21"/>
      <c r="I15" s="21"/>
    </row>
    <row r="16" hidden="1" spans="1:9">
      <c r="A16" s="28" t="s">
        <v>19</v>
      </c>
      <c r="B16" s="22"/>
      <c r="C16" s="23"/>
      <c r="D16" s="24"/>
      <c r="E16" s="23"/>
      <c r="F16" s="25"/>
      <c r="G16" s="21"/>
      <c r="H16" s="21"/>
      <c r="I16" s="21"/>
    </row>
    <row r="17" hidden="1" spans="1:9">
      <c r="A17" s="28" t="s">
        <v>20</v>
      </c>
      <c r="B17" s="22"/>
      <c r="C17" s="23"/>
      <c r="D17" s="24"/>
      <c r="E17" s="23"/>
      <c r="F17" s="25"/>
      <c r="G17" s="21"/>
      <c r="H17" s="21"/>
      <c r="I17" s="21"/>
    </row>
    <row r="18" hidden="1" customHeight="1" spans="1:94">
      <c r="A18" s="16" t="s">
        <v>21</v>
      </c>
      <c r="B18" s="26"/>
      <c r="C18" s="24"/>
      <c r="D18" s="24"/>
      <c r="E18" s="23"/>
      <c r="F18" s="27"/>
      <c r="G18" s="21"/>
      <c r="H18" s="21"/>
      <c r="I18" s="21"/>
      <c r="CP18" s="62"/>
    </row>
    <row r="19" hidden="1" spans="1:9">
      <c r="A19" s="16" t="s">
        <v>22</v>
      </c>
      <c r="B19" s="22"/>
      <c r="C19" s="23"/>
      <c r="D19" s="24"/>
      <c r="E19" s="23"/>
      <c r="F19" s="25"/>
      <c r="G19" s="21"/>
      <c r="H19" s="21"/>
      <c r="I19" s="21"/>
    </row>
    <row r="20" spans="1:9">
      <c r="A20" s="33" t="s">
        <v>23</v>
      </c>
      <c r="B20" s="33" t="s">
        <v>24</v>
      </c>
      <c r="C20" s="33"/>
      <c r="D20" s="33" t="s">
        <v>24</v>
      </c>
      <c r="E20" s="34" t="s">
        <v>25</v>
      </c>
      <c r="F20" s="33" t="s">
        <v>26</v>
      </c>
      <c r="G20" s="33" t="s">
        <v>27</v>
      </c>
      <c r="H20" s="33" t="s">
        <v>28</v>
      </c>
      <c r="I20" s="33" t="s">
        <v>29</v>
      </c>
    </row>
    <row r="21" spans="1:9">
      <c r="A21" s="21"/>
      <c r="B21" s="16" t="s">
        <v>30</v>
      </c>
      <c r="C21" s="16"/>
      <c r="D21" s="28" t="s">
        <v>30</v>
      </c>
      <c r="E21" s="35"/>
      <c r="F21" s="16"/>
      <c r="G21" s="16"/>
      <c r="H21" s="16"/>
      <c r="I21" s="16"/>
    </row>
    <row r="22" spans="1:9">
      <c r="A22" s="36">
        <v>301</v>
      </c>
      <c r="B22" s="37" t="s">
        <v>31</v>
      </c>
      <c r="C22" s="37"/>
      <c r="D22" s="37" t="s">
        <v>32</v>
      </c>
      <c r="E22" s="38" t="s">
        <v>33</v>
      </c>
      <c r="F22" s="39">
        <v>5.4</v>
      </c>
      <c r="G22" s="39">
        <v>6.1</v>
      </c>
      <c r="H22" s="36" t="s">
        <v>34</v>
      </c>
      <c r="I22" s="57">
        <v>590</v>
      </c>
    </row>
    <row r="23" spans="1:9">
      <c r="A23" s="36">
        <v>302</v>
      </c>
      <c r="B23" s="37" t="s">
        <v>35</v>
      </c>
      <c r="C23" s="37"/>
      <c r="D23" s="37" t="s">
        <v>36</v>
      </c>
      <c r="E23" s="38" t="s">
        <v>37</v>
      </c>
      <c r="F23" s="39">
        <v>14.6</v>
      </c>
      <c r="G23" s="39">
        <v>16.5</v>
      </c>
      <c r="H23" s="36" t="s">
        <v>38</v>
      </c>
      <c r="I23" s="57">
        <v>218</v>
      </c>
    </row>
    <row r="24" spans="1:9">
      <c r="A24" s="36">
        <v>303</v>
      </c>
      <c r="B24" s="37" t="s">
        <v>39</v>
      </c>
      <c r="C24" s="37"/>
      <c r="D24" s="37" t="s">
        <v>39</v>
      </c>
      <c r="E24" s="38" t="s">
        <v>40</v>
      </c>
      <c r="F24" s="39">
        <v>15.8</v>
      </c>
      <c r="G24" s="39">
        <v>15.8</v>
      </c>
      <c r="H24" s="36" t="s">
        <v>41</v>
      </c>
      <c r="I24" s="57">
        <v>228</v>
      </c>
    </row>
    <row r="25" spans="1:9">
      <c r="A25" s="36">
        <v>5</v>
      </c>
      <c r="B25" s="37" t="s">
        <v>42</v>
      </c>
      <c r="C25" s="37"/>
      <c r="D25" s="37" t="s">
        <v>42</v>
      </c>
      <c r="E25" s="38" t="s">
        <v>43</v>
      </c>
      <c r="F25" s="39">
        <v>14.9</v>
      </c>
      <c r="G25" s="39">
        <v>16.4</v>
      </c>
      <c r="H25" s="36" t="s">
        <v>34</v>
      </c>
      <c r="I25" s="57">
        <v>220</v>
      </c>
    </row>
    <row r="26" spans="1:9">
      <c r="A26" s="36">
        <v>170</v>
      </c>
      <c r="B26" s="37" t="s">
        <v>44</v>
      </c>
      <c r="C26" s="37"/>
      <c r="D26" s="37" t="s">
        <v>45</v>
      </c>
      <c r="E26" s="38" t="s">
        <v>43</v>
      </c>
      <c r="F26" s="39">
        <v>15.4</v>
      </c>
      <c r="G26" s="39">
        <v>17</v>
      </c>
      <c r="H26" s="36" t="s">
        <v>38</v>
      </c>
      <c r="I26" s="57">
        <v>212</v>
      </c>
    </row>
    <row r="27" spans="1:9">
      <c r="A27" s="36">
        <v>16</v>
      </c>
      <c r="B27" s="37" t="s">
        <v>46</v>
      </c>
      <c r="C27" s="37"/>
      <c r="D27" s="37" t="s">
        <v>47</v>
      </c>
      <c r="E27" s="38" t="s">
        <v>43</v>
      </c>
      <c r="F27" s="39">
        <v>17</v>
      </c>
      <c r="G27" s="39">
        <v>18.7</v>
      </c>
      <c r="H27" s="36" t="s">
        <v>34</v>
      </c>
      <c r="I27" s="57">
        <v>193</v>
      </c>
    </row>
    <row r="28" spans="1:9">
      <c r="A28" s="36">
        <v>304</v>
      </c>
      <c r="B28" s="37" t="s">
        <v>48</v>
      </c>
      <c r="C28" s="37"/>
      <c r="D28" s="37" t="s">
        <v>49</v>
      </c>
      <c r="E28" s="38" t="s">
        <v>37</v>
      </c>
      <c r="F28" s="39">
        <v>0.2</v>
      </c>
      <c r="G28" s="39">
        <v>0.2</v>
      </c>
      <c r="H28" s="36" t="s">
        <v>38</v>
      </c>
      <c r="I28" s="57">
        <v>18000</v>
      </c>
    </row>
    <row r="29" spans="1:9">
      <c r="A29" s="36">
        <v>305</v>
      </c>
      <c r="B29" s="37" t="s">
        <v>50</v>
      </c>
      <c r="C29" s="37"/>
      <c r="D29" s="37" t="s">
        <v>51</v>
      </c>
      <c r="E29" s="38" t="s">
        <v>52</v>
      </c>
      <c r="F29" s="39">
        <v>0.7</v>
      </c>
      <c r="G29" s="39">
        <v>0.8</v>
      </c>
      <c r="H29" s="36" t="s">
        <v>41</v>
      </c>
      <c r="I29" s="57">
        <v>4500</v>
      </c>
    </row>
    <row r="30" spans="1:9">
      <c r="A30" s="36">
        <v>1</v>
      </c>
      <c r="B30" s="37" t="s">
        <v>53</v>
      </c>
      <c r="C30" s="37"/>
      <c r="D30" s="37" t="s">
        <v>54</v>
      </c>
      <c r="E30" s="38" t="s">
        <v>43</v>
      </c>
      <c r="F30" s="39">
        <v>0.3</v>
      </c>
      <c r="G30" s="39">
        <v>0.3</v>
      </c>
      <c r="H30" s="36" t="s">
        <v>34</v>
      </c>
      <c r="I30" s="57">
        <v>12000</v>
      </c>
    </row>
    <row r="31" spans="1:9">
      <c r="A31" s="36">
        <v>14</v>
      </c>
      <c r="B31" s="37" t="s">
        <v>55</v>
      </c>
      <c r="C31" s="37"/>
      <c r="D31" s="37" t="s">
        <v>55</v>
      </c>
      <c r="E31" s="38" t="s">
        <v>56</v>
      </c>
      <c r="F31" s="39">
        <v>9</v>
      </c>
      <c r="G31" s="39">
        <v>10.1</v>
      </c>
      <c r="H31" s="36" t="s">
        <v>34</v>
      </c>
      <c r="I31" s="57">
        <v>356</v>
      </c>
    </row>
    <row r="32" spans="1:9">
      <c r="A32" s="36">
        <v>15</v>
      </c>
      <c r="B32" s="37" t="s">
        <v>57</v>
      </c>
      <c r="C32" s="37"/>
      <c r="D32" s="37" t="s">
        <v>57</v>
      </c>
      <c r="E32" s="38" t="s">
        <v>56</v>
      </c>
      <c r="F32" s="39">
        <v>11.1</v>
      </c>
      <c r="G32" s="39">
        <v>12.5</v>
      </c>
      <c r="H32" s="36" t="s">
        <v>34</v>
      </c>
      <c r="I32" s="57">
        <v>288</v>
      </c>
    </row>
    <row r="33" spans="1:9">
      <c r="A33" s="36">
        <v>54</v>
      </c>
      <c r="B33" s="37" t="s">
        <v>58</v>
      </c>
      <c r="C33" s="37"/>
      <c r="D33" s="37" t="s">
        <v>59</v>
      </c>
      <c r="E33" s="38" t="s">
        <v>60</v>
      </c>
      <c r="F33" s="39">
        <v>16.7</v>
      </c>
      <c r="G33" s="39">
        <v>18.7</v>
      </c>
      <c r="H33" s="36" t="s">
        <v>34</v>
      </c>
      <c r="I33" s="57">
        <v>193</v>
      </c>
    </row>
    <row r="34" spans="1:9">
      <c r="A34" s="36">
        <v>17</v>
      </c>
      <c r="B34" s="37" t="s">
        <v>61</v>
      </c>
      <c r="C34" s="37"/>
      <c r="D34" s="37" t="s">
        <v>61</v>
      </c>
      <c r="E34" s="38" t="s">
        <v>60</v>
      </c>
      <c r="F34" s="39">
        <v>18</v>
      </c>
      <c r="G34" s="39">
        <v>20.3</v>
      </c>
      <c r="H34" s="36" t="s">
        <v>34</v>
      </c>
      <c r="I34" s="57">
        <v>177</v>
      </c>
    </row>
    <row r="35" spans="1:9">
      <c r="A35" s="36">
        <v>11</v>
      </c>
      <c r="B35" s="37" t="s">
        <v>62</v>
      </c>
      <c r="C35" s="37"/>
      <c r="D35" s="37"/>
      <c r="E35" s="38"/>
      <c r="F35" s="39"/>
      <c r="G35" s="39"/>
      <c r="H35" s="36"/>
      <c r="I35" s="57"/>
    </row>
    <row r="36" spans="1:9">
      <c r="A36" s="36">
        <v>18</v>
      </c>
      <c r="B36" s="37" t="s">
        <v>63</v>
      </c>
      <c r="C36" s="37"/>
      <c r="D36" s="37" t="s">
        <v>64</v>
      </c>
      <c r="E36" s="38"/>
      <c r="F36" s="39"/>
      <c r="G36" s="39"/>
      <c r="H36" s="36"/>
      <c r="I36" s="57"/>
    </row>
    <row r="37" spans="1:9">
      <c r="A37" s="36">
        <v>19</v>
      </c>
      <c r="B37" s="37" t="s">
        <v>65</v>
      </c>
      <c r="C37" s="37"/>
      <c r="D37" s="37" t="s">
        <v>64</v>
      </c>
      <c r="E37" s="38"/>
      <c r="F37" s="39"/>
      <c r="G37" s="39"/>
      <c r="H37" s="36"/>
      <c r="I37" s="57"/>
    </row>
    <row r="38" spans="1:9">
      <c r="A38" s="21"/>
      <c r="B38" s="16" t="s">
        <v>66</v>
      </c>
      <c r="C38" s="16"/>
      <c r="D38" s="37" t="s">
        <v>66</v>
      </c>
      <c r="E38" s="38"/>
      <c r="F38" s="39"/>
      <c r="G38" s="39"/>
      <c r="H38" s="36"/>
      <c r="I38" s="57"/>
    </row>
    <row r="39" spans="1:9">
      <c r="A39" s="40">
        <v>60</v>
      </c>
      <c r="B39" s="41" t="s">
        <v>67</v>
      </c>
      <c r="C39" s="16" t="s">
        <v>68</v>
      </c>
      <c r="D39" s="37" t="s">
        <v>69</v>
      </c>
      <c r="E39" s="38" t="s">
        <v>43</v>
      </c>
      <c r="F39" s="39"/>
      <c r="G39" s="39">
        <v>1.2</v>
      </c>
      <c r="H39" s="36"/>
      <c r="I39" s="57"/>
    </row>
    <row r="40" ht="24" spans="1:9">
      <c r="A40" s="36">
        <v>30</v>
      </c>
      <c r="B40" s="37" t="s">
        <v>70</v>
      </c>
      <c r="C40" s="37"/>
      <c r="D40" s="37" t="s">
        <v>71</v>
      </c>
      <c r="E40" s="38" t="s">
        <v>72</v>
      </c>
      <c r="F40" s="39">
        <v>19.9</v>
      </c>
      <c r="G40" s="39">
        <v>23.8</v>
      </c>
      <c r="H40" s="36" t="s">
        <v>41</v>
      </c>
      <c r="I40" s="57">
        <v>151</v>
      </c>
    </row>
    <row r="41" spans="1:9">
      <c r="A41" s="36">
        <v>31</v>
      </c>
      <c r="B41" s="37" t="s">
        <v>73</v>
      </c>
      <c r="C41" s="37"/>
      <c r="D41" s="42" t="s">
        <v>74</v>
      </c>
      <c r="E41" s="43" t="s">
        <v>43</v>
      </c>
      <c r="F41" s="21">
        <v>18.8</v>
      </c>
      <c r="G41" s="21">
        <v>20.8</v>
      </c>
      <c r="H41" s="21" t="s">
        <v>38</v>
      </c>
      <c r="I41" s="21">
        <v>173</v>
      </c>
    </row>
    <row r="42" spans="1:9">
      <c r="A42" s="36">
        <v>71</v>
      </c>
      <c r="B42" s="37" t="s">
        <v>75</v>
      </c>
      <c r="C42" s="37"/>
      <c r="D42" s="42"/>
      <c r="E42" s="43"/>
      <c r="F42" s="21"/>
      <c r="G42" s="21"/>
      <c r="H42" s="21"/>
      <c r="I42" s="21"/>
    </row>
    <row r="43" spans="1:9">
      <c r="A43" s="36">
        <v>32</v>
      </c>
      <c r="B43" s="37" t="s">
        <v>76</v>
      </c>
      <c r="C43" s="37"/>
      <c r="D43" s="37" t="s">
        <v>77</v>
      </c>
      <c r="E43" s="38" t="s">
        <v>78</v>
      </c>
      <c r="F43" s="39">
        <v>31.2</v>
      </c>
      <c r="G43" s="39">
        <v>35.5</v>
      </c>
      <c r="H43" s="36" t="s">
        <v>79</v>
      </c>
      <c r="I43" s="57">
        <v>101</v>
      </c>
    </row>
    <row r="44" spans="1:9">
      <c r="A44" s="36">
        <v>33</v>
      </c>
      <c r="B44" s="37" t="s">
        <v>80</v>
      </c>
      <c r="C44" s="37"/>
      <c r="D44" s="42" t="s">
        <v>80</v>
      </c>
      <c r="E44" s="43" t="s">
        <v>81</v>
      </c>
      <c r="F44" s="21">
        <v>17.5</v>
      </c>
      <c r="G44" s="21">
        <v>19.6</v>
      </c>
      <c r="H44" s="21" t="s">
        <v>41</v>
      </c>
      <c r="I44" s="21">
        <v>184</v>
      </c>
    </row>
    <row r="45" spans="1:9">
      <c r="A45" s="36">
        <v>34</v>
      </c>
      <c r="B45" s="37" t="s">
        <v>82</v>
      </c>
      <c r="C45" s="37"/>
      <c r="D45" s="37" t="s">
        <v>83</v>
      </c>
      <c r="E45" s="38" t="s">
        <v>84</v>
      </c>
      <c r="F45" s="39">
        <v>14.6</v>
      </c>
      <c r="G45" s="39">
        <v>16.4</v>
      </c>
      <c r="H45" s="36" t="s">
        <v>79</v>
      </c>
      <c r="I45" s="57">
        <v>220</v>
      </c>
    </row>
    <row r="46" s="2" customFormat="1" hidden="1" spans="1:10">
      <c r="A46" s="40">
        <v>36</v>
      </c>
      <c r="B46" s="44" t="s">
        <v>85</v>
      </c>
      <c r="C46" s="44"/>
      <c r="D46" s="44" t="s">
        <v>86</v>
      </c>
      <c r="E46" s="45" t="s">
        <v>56</v>
      </c>
      <c r="F46" s="39"/>
      <c r="G46" s="39"/>
      <c r="H46" s="36"/>
      <c r="I46" s="57"/>
      <c r="J46" s="2" t="s">
        <v>87</v>
      </c>
    </row>
    <row r="47" spans="1:9">
      <c r="A47" s="36">
        <v>37</v>
      </c>
      <c r="B47" s="37" t="s">
        <v>88</v>
      </c>
      <c r="C47" s="37"/>
      <c r="D47" s="37" t="s">
        <v>88</v>
      </c>
      <c r="E47" s="38" t="s">
        <v>78</v>
      </c>
      <c r="F47" s="39">
        <v>30.3</v>
      </c>
      <c r="G47" s="39">
        <v>33.7</v>
      </c>
      <c r="H47" s="36" t="s">
        <v>89</v>
      </c>
      <c r="I47" s="57">
        <v>107</v>
      </c>
    </row>
    <row r="48" spans="1:9">
      <c r="A48" s="21"/>
      <c r="B48" s="16" t="s">
        <v>90</v>
      </c>
      <c r="C48" s="16"/>
      <c r="D48" s="37" t="s">
        <v>90</v>
      </c>
      <c r="E48" s="38"/>
      <c r="F48" s="39"/>
      <c r="G48" s="39"/>
      <c r="H48" s="36"/>
      <c r="I48" s="57"/>
    </row>
    <row r="49" spans="1:9">
      <c r="A49" s="36"/>
      <c r="B49" s="37" t="s">
        <v>91</v>
      </c>
      <c r="C49" s="37"/>
      <c r="D49" s="37" t="s">
        <v>91</v>
      </c>
      <c r="E49" s="38" t="s">
        <v>92</v>
      </c>
      <c r="F49" s="39">
        <v>1.3</v>
      </c>
      <c r="G49" s="39">
        <v>1.3</v>
      </c>
      <c r="H49" s="36" t="s">
        <v>93</v>
      </c>
      <c r="I49" s="57">
        <v>2769</v>
      </c>
    </row>
    <row r="50" spans="1:9">
      <c r="A50" s="36"/>
      <c r="B50" s="37" t="s">
        <v>94</v>
      </c>
      <c r="C50" s="37"/>
      <c r="D50" s="37" t="s">
        <v>94</v>
      </c>
      <c r="E50" s="38" t="s">
        <v>43</v>
      </c>
      <c r="F50" s="39">
        <v>6</v>
      </c>
      <c r="G50" s="39">
        <v>6.7</v>
      </c>
      <c r="H50" s="36" t="s">
        <v>93</v>
      </c>
      <c r="I50" s="57">
        <v>537</v>
      </c>
    </row>
    <row r="51" spans="1:15">
      <c r="A51" s="36">
        <v>20</v>
      </c>
      <c r="B51" s="37" t="s">
        <v>95</v>
      </c>
      <c r="C51" s="37"/>
      <c r="D51" s="37" t="s">
        <v>96</v>
      </c>
      <c r="E51" s="38" t="s">
        <v>43</v>
      </c>
      <c r="F51" s="39">
        <v>3.6</v>
      </c>
      <c r="G51" s="39">
        <v>4</v>
      </c>
      <c r="H51" s="36" t="s">
        <v>93</v>
      </c>
      <c r="I51" s="57">
        <v>900</v>
      </c>
      <c r="J51" s="9" t="s">
        <v>23</v>
      </c>
      <c r="K51" s="9" t="s">
        <v>24</v>
      </c>
      <c r="L51" s="9" t="s">
        <v>97</v>
      </c>
      <c r="M51" s="9" t="s">
        <v>98</v>
      </c>
      <c r="N51" s="9">
        <v>81370</v>
      </c>
      <c r="O51" s="9">
        <f>N51*M60</f>
        <v>53934.600471891</v>
      </c>
    </row>
    <row r="52" spans="1:13">
      <c r="A52" s="36">
        <v>21</v>
      </c>
      <c r="B52" s="37" t="s">
        <v>99</v>
      </c>
      <c r="C52" s="37"/>
      <c r="D52" s="37" t="s">
        <v>100</v>
      </c>
      <c r="E52" s="38" t="s">
        <v>78</v>
      </c>
      <c r="F52" s="39">
        <v>7.6</v>
      </c>
      <c r="G52" s="39">
        <v>8.4</v>
      </c>
      <c r="H52" s="36" t="s">
        <v>41</v>
      </c>
      <c r="I52" s="57">
        <v>429</v>
      </c>
      <c r="J52" s="9">
        <v>36</v>
      </c>
      <c r="K52" s="9" t="s">
        <v>85</v>
      </c>
      <c r="L52" s="9">
        <v>29.5</v>
      </c>
      <c r="M52" s="9">
        <v>0.1092</v>
      </c>
    </row>
    <row r="53" spans="1:13">
      <c r="A53" s="36">
        <v>23</v>
      </c>
      <c r="B53" s="37" t="s">
        <v>101</v>
      </c>
      <c r="C53" s="37"/>
      <c r="D53" s="42" t="s">
        <v>102</v>
      </c>
      <c r="E53" s="43" t="s">
        <v>103</v>
      </c>
      <c r="F53" s="21">
        <v>13.3</v>
      </c>
      <c r="G53" s="21">
        <v>14.7</v>
      </c>
      <c r="H53" s="21" t="s">
        <v>104</v>
      </c>
      <c r="I53" s="21">
        <v>245</v>
      </c>
      <c r="J53" s="9">
        <v>39</v>
      </c>
      <c r="K53" s="9" t="s">
        <v>105</v>
      </c>
      <c r="L53" s="9">
        <v>29.8</v>
      </c>
      <c r="M53" s="9">
        <v>0.1103</v>
      </c>
    </row>
    <row r="54" spans="1:13">
      <c r="A54" s="36">
        <v>24</v>
      </c>
      <c r="B54" s="37" t="s">
        <v>106</v>
      </c>
      <c r="C54" s="37"/>
      <c r="D54" s="37" t="s">
        <v>107</v>
      </c>
      <c r="E54" s="38" t="s">
        <v>78</v>
      </c>
      <c r="F54" s="39">
        <v>10.8</v>
      </c>
      <c r="G54" s="39">
        <v>12</v>
      </c>
      <c r="H54" s="36" t="s">
        <v>89</v>
      </c>
      <c r="I54" s="57">
        <v>300</v>
      </c>
      <c r="J54" s="9">
        <v>41</v>
      </c>
      <c r="K54" s="9" t="s">
        <v>108</v>
      </c>
      <c r="L54" s="9">
        <v>23.1</v>
      </c>
      <c r="M54" s="9">
        <v>0.0739</v>
      </c>
    </row>
    <row r="55" spans="1:18">
      <c r="A55" s="36">
        <v>25</v>
      </c>
      <c r="B55" s="37" t="s">
        <v>109</v>
      </c>
      <c r="C55" s="37"/>
      <c r="D55" s="37" t="s">
        <v>110</v>
      </c>
      <c r="E55" s="38" t="s">
        <v>43</v>
      </c>
      <c r="F55" s="39">
        <v>2.6</v>
      </c>
      <c r="G55" s="39">
        <v>2.9</v>
      </c>
      <c r="H55" s="36" t="s">
        <v>93</v>
      </c>
      <c r="I55" s="57">
        <v>1241</v>
      </c>
      <c r="J55" s="9">
        <v>44</v>
      </c>
      <c r="K55" s="9" t="s">
        <v>111</v>
      </c>
      <c r="L55" s="9">
        <v>34.7</v>
      </c>
      <c r="M55" s="9">
        <v>0.1319</v>
      </c>
      <c r="Q55" s="9">
        <v>0.2583</v>
      </c>
      <c r="R55" s="9">
        <f>Q55/58.7*33.8</f>
        <v>0.148731516183986</v>
      </c>
    </row>
    <row r="56" ht="24" spans="1:13">
      <c r="A56" s="36">
        <v>26</v>
      </c>
      <c r="B56" s="37" t="s">
        <v>112</v>
      </c>
      <c r="C56" s="37"/>
      <c r="D56" s="37" t="s">
        <v>113</v>
      </c>
      <c r="E56" s="38" t="s">
        <v>78</v>
      </c>
      <c r="F56" s="39">
        <v>28.3</v>
      </c>
      <c r="G56" s="39">
        <v>31.5</v>
      </c>
      <c r="H56" s="36" t="s">
        <v>79</v>
      </c>
      <c r="I56" s="57">
        <v>114</v>
      </c>
      <c r="J56" s="9">
        <v>81</v>
      </c>
      <c r="K56" s="9" t="s">
        <v>114</v>
      </c>
      <c r="L56" s="9">
        <v>8</v>
      </c>
      <c r="M56" s="9">
        <v>0.0248</v>
      </c>
    </row>
    <row r="57" ht="14" customHeight="1" spans="1:13">
      <c r="A57" s="36">
        <v>28</v>
      </c>
      <c r="B57" s="37" t="s">
        <v>115</v>
      </c>
      <c r="C57" s="37"/>
      <c r="D57" s="37" t="s">
        <v>116</v>
      </c>
      <c r="E57" s="38" t="s">
        <v>117</v>
      </c>
      <c r="F57" s="39">
        <v>34.9</v>
      </c>
      <c r="G57" s="39">
        <v>39.6</v>
      </c>
      <c r="H57" s="36" t="s">
        <v>118</v>
      </c>
      <c r="I57" s="57">
        <v>91</v>
      </c>
      <c r="K57" s="58" t="s">
        <v>119</v>
      </c>
      <c r="L57" s="9">
        <v>33.8</v>
      </c>
      <c r="M57" s="9">
        <v>0.148731516183986</v>
      </c>
    </row>
    <row r="58" spans="1:13">
      <c r="A58" s="36">
        <v>29</v>
      </c>
      <c r="B58" s="37" t="s">
        <v>120</v>
      </c>
      <c r="C58" s="37"/>
      <c r="D58" s="37" t="s">
        <v>121</v>
      </c>
      <c r="E58" s="38" t="s">
        <v>43</v>
      </c>
      <c r="F58" s="39">
        <v>6.1</v>
      </c>
      <c r="G58" s="39">
        <v>6.8</v>
      </c>
      <c r="H58" s="36" t="s">
        <v>93</v>
      </c>
      <c r="I58" s="57">
        <v>529</v>
      </c>
      <c r="K58" s="9" t="s">
        <v>122</v>
      </c>
      <c r="L58" s="9">
        <v>6.6</v>
      </c>
      <c r="M58" s="9">
        <v>0.0211</v>
      </c>
    </row>
    <row r="59" spans="1:13">
      <c r="A59" s="21"/>
      <c r="B59" s="16" t="s">
        <v>123</v>
      </c>
      <c r="C59" s="16"/>
      <c r="D59" s="37" t="s">
        <v>123</v>
      </c>
      <c r="E59" s="38"/>
      <c r="F59" s="39"/>
      <c r="G59" s="39"/>
      <c r="H59" s="36"/>
      <c r="I59" s="57"/>
      <c r="K59" s="9" t="s">
        <v>124</v>
      </c>
      <c r="L59" s="9">
        <v>11.3</v>
      </c>
      <c r="M59" s="9">
        <v>0.0429</v>
      </c>
    </row>
    <row r="60" spans="1:13">
      <c r="A60" s="36">
        <v>38</v>
      </c>
      <c r="B60" s="37" t="s">
        <v>125</v>
      </c>
      <c r="C60" s="37"/>
      <c r="D60" s="37" t="s">
        <v>126</v>
      </c>
      <c r="E60" s="38" t="s">
        <v>84</v>
      </c>
      <c r="F60" s="39">
        <v>18.2</v>
      </c>
      <c r="G60" s="39">
        <v>20.4</v>
      </c>
      <c r="H60" s="36" t="s">
        <v>79</v>
      </c>
      <c r="I60" s="57">
        <v>176</v>
      </c>
      <c r="L60" s="9">
        <f>SUM(L52:L59)</f>
        <v>176.8</v>
      </c>
      <c r="M60" s="9">
        <f>SUM(M52:M59)</f>
        <v>0.662831516183986</v>
      </c>
    </row>
    <row r="61" customFormat="1" ht="13.5" hidden="1" spans="1:13">
      <c r="A61" s="46"/>
      <c r="B61" s="47"/>
      <c r="C61" s="37"/>
      <c r="D61" s="48" t="s">
        <v>127</v>
      </c>
      <c r="E61" s="49" t="s">
        <v>128</v>
      </c>
      <c r="F61" s="50">
        <v>80.2</v>
      </c>
      <c r="G61" s="50">
        <v>97</v>
      </c>
      <c r="H61" s="51" t="s">
        <v>89</v>
      </c>
      <c r="I61" s="59">
        <v>37</v>
      </c>
      <c r="J61" s="60" t="s">
        <v>129</v>
      </c>
      <c r="L61" s="9"/>
      <c r="M61" s="9"/>
    </row>
    <row r="62" s="3" customFormat="1" spans="1:9">
      <c r="A62" s="46">
        <v>39</v>
      </c>
      <c r="B62" s="47" t="s">
        <v>105</v>
      </c>
      <c r="C62" s="52"/>
      <c r="D62" s="53" t="s">
        <v>130</v>
      </c>
      <c r="E62" s="54" t="s">
        <v>56</v>
      </c>
      <c r="F62" s="55">
        <v>26.5</v>
      </c>
      <c r="G62" s="55">
        <v>29.8</v>
      </c>
      <c r="H62" s="56" t="s">
        <v>131</v>
      </c>
      <c r="I62" s="61">
        <v>121</v>
      </c>
    </row>
    <row r="63" s="2" customFormat="1" spans="1:9">
      <c r="A63" s="46">
        <v>41</v>
      </c>
      <c r="B63" s="47" t="s">
        <v>108</v>
      </c>
      <c r="C63" s="52"/>
      <c r="D63" s="53" t="s">
        <v>108</v>
      </c>
      <c r="E63" s="54" t="s">
        <v>43</v>
      </c>
      <c r="F63" s="55">
        <v>20.9</v>
      </c>
      <c r="G63" s="55">
        <v>23.1</v>
      </c>
      <c r="H63" s="56" t="s">
        <v>34</v>
      </c>
      <c r="I63" s="61">
        <v>156</v>
      </c>
    </row>
    <row r="64" s="4" customFormat="1" spans="1:9">
      <c r="A64" s="46">
        <v>42</v>
      </c>
      <c r="B64" s="47" t="s">
        <v>132</v>
      </c>
      <c r="C64" s="52"/>
      <c r="D64" s="53" t="s">
        <v>133</v>
      </c>
      <c r="E64" s="54" t="s">
        <v>78</v>
      </c>
      <c r="F64" s="55">
        <v>59.9</v>
      </c>
      <c r="G64" s="55">
        <v>71.2</v>
      </c>
      <c r="H64" s="56" t="s">
        <v>134</v>
      </c>
      <c r="I64" s="61">
        <v>51</v>
      </c>
    </row>
    <row r="65" s="4" customFormat="1" spans="1:9">
      <c r="A65" s="46">
        <v>73</v>
      </c>
      <c r="B65" s="47" t="s">
        <v>135</v>
      </c>
      <c r="C65" s="52"/>
      <c r="D65" s="52"/>
      <c r="E65" s="63"/>
      <c r="F65" s="64"/>
      <c r="G65" s="64"/>
      <c r="H65" s="65"/>
      <c r="I65" s="74"/>
    </row>
    <row r="66" s="4" customFormat="1" ht="9" customHeight="1" spans="1:10">
      <c r="A66" s="46">
        <v>74</v>
      </c>
      <c r="B66" s="47" t="s">
        <v>136</v>
      </c>
      <c r="C66" s="52"/>
      <c r="D66" s="52"/>
      <c r="E66" s="63"/>
      <c r="F66" s="64"/>
      <c r="G66" s="64"/>
      <c r="H66" s="65"/>
      <c r="I66" s="74"/>
      <c r="J66" s="4" t="s">
        <v>137</v>
      </c>
    </row>
    <row r="67" s="5" customFormat="1" spans="1:9">
      <c r="A67" s="66"/>
      <c r="B67" s="67" t="s">
        <v>138</v>
      </c>
      <c r="C67" s="16"/>
      <c r="D67" s="42" t="s">
        <v>138</v>
      </c>
      <c r="E67" s="43"/>
      <c r="F67" s="21"/>
      <c r="G67" s="21"/>
      <c r="H67" s="21"/>
      <c r="I67" s="21"/>
    </row>
    <row r="68" s="5" customFormat="1" spans="1:9">
      <c r="A68" s="46">
        <v>27</v>
      </c>
      <c r="B68" s="47" t="s">
        <v>139</v>
      </c>
      <c r="C68" s="37"/>
      <c r="D68" s="37" t="s">
        <v>140</v>
      </c>
      <c r="E68" s="38" t="s">
        <v>43</v>
      </c>
      <c r="F68" s="39">
        <v>28.8</v>
      </c>
      <c r="G68" s="39">
        <v>31.8</v>
      </c>
      <c r="H68" s="36" t="s">
        <v>141</v>
      </c>
      <c r="I68" s="57">
        <v>113</v>
      </c>
    </row>
    <row r="69" s="5" customFormat="1" spans="1:9">
      <c r="A69" s="46">
        <v>43</v>
      </c>
      <c r="B69" s="47" t="s">
        <v>142</v>
      </c>
      <c r="C69" s="37"/>
      <c r="D69" s="37" t="s">
        <v>142</v>
      </c>
      <c r="E69" s="38" t="s">
        <v>143</v>
      </c>
      <c r="F69" s="39">
        <v>37.1</v>
      </c>
      <c r="G69" s="39">
        <v>41.8</v>
      </c>
      <c r="H69" s="36" t="s">
        <v>79</v>
      </c>
      <c r="I69" s="57">
        <v>86</v>
      </c>
    </row>
    <row r="70" s="5" customFormat="1" hidden="1" spans="1:10">
      <c r="A70" s="46"/>
      <c r="B70" s="47"/>
      <c r="C70" s="37"/>
      <c r="D70" s="48" t="s">
        <v>144</v>
      </c>
      <c r="E70" s="49" t="s">
        <v>78</v>
      </c>
      <c r="F70" s="50">
        <v>140.7</v>
      </c>
      <c r="G70" s="50">
        <v>156.5</v>
      </c>
      <c r="H70" s="51" t="s">
        <v>79</v>
      </c>
      <c r="I70" s="59">
        <v>23</v>
      </c>
      <c r="J70" s="6" t="s">
        <v>145</v>
      </c>
    </row>
    <row r="71" s="2" customFormat="1" spans="1:9">
      <c r="A71" s="46">
        <v>44</v>
      </c>
      <c r="B71" s="47" t="s">
        <v>111</v>
      </c>
      <c r="C71" s="52"/>
      <c r="D71" s="53" t="s">
        <v>146</v>
      </c>
      <c r="E71" s="54" t="s">
        <v>43</v>
      </c>
      <c r="F71" s="55">
        <v>31.4</v>
      </c>
      <c r="G71" s="55">
        <v>34.7</v>
      </c>
      <c r="H71" s="56" t="s">
        <v>41</v>
      </c>
      <c r="I71" s="61">
        <v>104</v>
      </c>
    </row>
    <row r="72" s="4" customFormat="1" spans="1:10">
      <c r="A72" s="46">
        <v>45</v>
      </c>
      <c r="B72" s="47" t="s">
        <v>147</v>
      </c>
      <c r="C72" s="52"/>
      <c r="D72" s="53" t="s">
        <v>148</v>
      </c>
      <c r="E72" s="54" t="s">
        <v>78</v>
      </c>
      <c r="F72" s="55">
        <v>60.3</v>
      </c>
      <c r="G72" s="55">
        <v>94.8</v>
      </c>
      <c r="H72" s="56" t="s">
        <v>134</v>
      </c>
      <c r="I72" s="61">
        <v>48</v>
      </c>
      <c r="J72" s="4" t="s">
        <v>149</v>
      </c>
    </row>
    <row r="73" s="4" customFormat="1" spans="1:10">
      <c r="A73" s="46">
        <v>46</v>
      </c>
      <c r="B73" s="47" t="s">
        <v>150</v>
      </c>
      <c r="C73" s="47"/>
      <c r="D73" s="37" t="s">
        <v>151</v>
      </c>
      <c r="E73" s="38" t="s">
        <v>78</v>
      </c>
      <c r="F73" s="39">
        <v>26</v>
      </c>
      <c r="G73" s="39">
        <v>30.5</v>
      </c>
      <c r="H73" s="36" t="s">
        <v>79</v>
      </c>
      <c r="I73" s="57">
        <v>118</v>
      </c>
      <c r="J73" s="4" t="s">
        <v>152</v>
      </c>
    </row>
    <row r="74" s="5" customFormat="1" ht="24" spans="1:9">
      <c r="A74" s="46">
        <v>47</v>
      </c>
      <c r="B74" s="47" t="s">
        <v>153</v>
      </c>
      <c r="C74" s="47"/>
      <c r="D74" s="37" t="s">
        <v>154</v>
      </c>
      <c r="E74" s="38" t="s">
        <v>78</v>
      </c>
      <c r="F74" s="39">
        <v>13.7</v>
      </c>
      <c r="G74" s="39">
        <v>15.5</v>
      </c>
      <c r="H74" s="36" t="s">
        <v>89</v>
      </c>
      <c r="I74" s="57">
        <v>232</v>
      </c>
    </row>
    <row r="75" spans="1:9">
      <c r="A75" s="46">
        <v>48</v>
      </c>
      <c r="B75" s="47" t="s">
        <v>155</v>
      </c>
      <c r="C75" s="37"/>
      <c r="D75" s="37" t="s">
        <v>156</v>
      </c>
      <c r="E75" s="38" t="s">
        <v>143</v>
      </c>
      <c r="F75" s="39">
        <v>14.2</v>
      </c>
      <c r="G75" s="39">
        <v>15.8</v>
      </c>
      <c r="H75" s="36" t="s">
        <v>79</v>
      </c>
      <c r="I75" s="57">
        <v>228</v>
      </c>
    </row>
    <row r="76" s="2" customFormat="1" hidden="1" spans="1:9">
      <c r="A76" s="46"/>
      <c r="B76" s="47"/>
      <c r="C76" s="37"/>
      <c r="D76" s="42" t="s">
        <v>122</v>
      </c>
      <c r="E76" s="43" t="s">
        <v>56</v>
      </c>
      <c r="F76" s="21">
        <v>5.8</v>
      </c>
      <c r="G76" s="21">
        <v>6.6</v>
      </c>
      <c r="H76" s="21" t="s">
        <v>34</v>
      </c>
      <c r="I76" s="21">
        <v>545</v>
      </c>
    </row>
    <row r="77" spans="1:9">
      <c r="A77" s="46">
        <v>49</v>
      </c>
      <c r="B77" s="47" t="s">
        <v>157</v>
      </c>
      <c r="C77" s="37"/>
      <c r="D77" s="37" t="s">
        <v>157</v>
      </c>
      <c r="E77" s="38" t="s">
        <v>78</v>
      </c>
      <c r="F77" s="39">
        <v>13.3</v>
      </c>
      <c r="G77" s="39">
        <v>15</v>
      </c>
      <c r="H77" s="36" t="s">
        <v>79</v>
      </c>
      <c r="I77" s="57">
        <v>240</v>
      </c>
    </row>
    <row r="78" spans="1:9">
      <c r="A78" s="46">
        <v>50</v>
      </c>
      <c r="B78" s="47" t="s">
        <v>158</v>
      </c>
      <c r="C78" s="37"/>
      <c r="D78" s="37" t="s">
        <v>159</v>
      </c>
      <c r="E78" s="38" t="s">
        <v>143</v>
      </c>
      <c r="F78" s="39">
        <v>15.3</v>
      </c>
      <c r="G78" s="39">
        <v>17.1</v>
      </c>
      <c r="H78" s="36" t="s">
        <v>79</v>
      </c>
      <c r="I78" s="57">
        <v>211</v>
      </c>
    </row>
    <row r="79" spans="1:9">
      <c r="A79" s="46">
        <v>51</v>
      </c>
      <c r="B79" s="47" t="s">
        <v>160</v>
      </c>
      <c r="C79" s="37"/>
      <c r="D79" s="37" t="s">
        <v>161</v>
      </c>
      <c r="E79" s="38" t="s">
        <v>143</v>
      </c>
      <c r="F79" s="39">
        <v>27.7</v>
      </c>
      <c r="G79" s="39">
        <v>31.2</v>
      </c>
      <c r="H79" s="36" t="s">
        <v>79</v>
      </c>
      <c r="I79" s="57">
        <v>115</v>
      </c>
    </row>
    <row r="80" spans="1:9">
      <c r="A80" s="46">
        <v>92</v>
      </c>
      <c r="B80" s="47" t="s">
        <v>162</v>
      </c>
      <c r="C80" s="37"/>
      <c r="D80" s="37" t="s">
        <v>163</v>
      </c>
      <c r="E80" s="38" t="s">
        <v>78</v>
      </c>
      <c r="F80" s="39">
        <v>5.5</v>
      </c>
      <c r="G80" s="39">
        <v>6.1</v>
      </c>
      <c r="H80" s="36" t="s">
        <v>41</v>
      </c>
      <c r="I80" s="57">
        <v>590</v>
      </c>
    </row>
    <row r="81" s="6" customFormat="1" hidden="1" spans="1:10">
      <c r="A81" s="46"/>
      <c r="B81" s="47"/>
      <c r="C81" s="48"/>
      <c r="D81" s="48" t="s">
        <v>119</v>
      </c>
      <c r="E81" s="49" t="s">
        <v>78</v>
      </c>
      <c r="F81" s="50"/>
      <c r="G81" s="50"/>
      <c r="H81" s="51"/>
      <c r="I81" s="59"/>
      <c r="J81" s="75" t="s">
        <v>87</v>
      </c>
    </row>
    <row r="82" s="6" customFormat="1" spans="1:10">
      <c r="A82" s="46">
        <v>52</v>
      </c>
      <c r="B82" s="47" t="s">
        <v>164</v>
      </c>
      <c r="C82" s="48">
        <v>74</v>
      </c>
      <c r="D82" s="48" t="s">
        <v>165</v>
      </c>
      <c r="E82" s="49" t="s">
        <v>143</v>
      </c>
      <c r="F82" s="50">
        <v>47.8</v>
      </c>
      <c r="G82" s="50">
        <v>56</v>
      </c>
      <c r="H82" s="51" t="s">
        <v>134</v>
      </c>
      <c r="I82" s="59">
        <v>64</v>
      </c>
      <c r="J82" s="75"/>
    </row>
    <row r="83" s="2" customFormat="1" hidden="1" spans="1:9">
      <c r="A83" s="46"/>
      <c r="B83" s="47"/>
      <c r="C83" s="37"/>
      <c r="D83" s="37" t="s">
        <v>124</v>
      </c>
      <c r="E83" s="38" t="s">
        <v>78</v>
      </c>
      <c r="F83" s="39">
        <v>10.2</v>
      </c>
      <c r="G83" s="39">
        <v>11.3</v>
      </c>
      <c r="H83" s="36" t="s">
        <v>41</v>
      </c>
      <c r="I83" s="57">
        <v>319</v>
      </c>
    </row>
    <row r="84" spans="1:9">
      <c r="A84" s="68">
        <v>53</v>
      </c>
      <c r="B84" s="69" t="s">
        <v>166</v>
      </c>
      <c r="C84" s="37"/>
      <c r="D84" s="37" t="s">
        <v>166</v>
      </c>
      <c r="E84" s="38" t="s">
        <v>78</v>
      </c>
      <c r="F84" s="39">
        <v>11.8</v>
      </c>
      <c r="G84" s="39">
        <v>13.1</v>
      </c>
      <c r="H84" s="36" t="s">
        <v>89</v>
      </c>
      <c r="I84" s="57">
        <v>275</v>
      </c>
    </row>
    <row r="85" spans="1:9">
      <c r="A85" s="36">
        <v>72</v>
      </c>
      <c r="B85" s="37" t="s">
        <v>167</v>
      </c>
      <c r="C85" s="37"/>
      <c r="D85" s="37" t="s">
        <v>168</v>
      </c>
      <c r="E85" s="38" t="s">
        <v>43</v>
      </c>
      <c r="F85" s="39">
        <v>10.8</v>
      </c>
      <c r="G85" s="39">
        <v>11.9</v>
      </c>
      <c r="H85" s="36" t="s">
        <v>93</v>
      </c>
      <c r="I85" s="57">
        <v>303</v>
      </c>
    </row>
    <row r="86" s="2" customFormat="1" spans="1:9">
      <c r="A86" s="36">
        <v>81</v>
      </c>
      <c r="B86" s="37" t="s">
        <v>114</v>
      </c>
      <c r="C86" s="37"/>
      <c r="D86" s="37" t="s">
        <v>169</v>
      </c>
      <c r="E86" s="38" t="s">
        <v>43</v>
      </c>
      <c r="F86" s="39">
        <v>7.2</v>
      </c>
      <c r="G86" s="39">
        <v>8</v>
      </c>
      <c r="H86" s="36" t="s">
        <v>93</v>
      </c>
      <c r="I86" s="57">
        <v>450</v>
      </c>
    </row>
    <row r="87" spans="1:9">
      <c r="A87" s="36">
        <v>55</v>
      </c>
      <c r="B87" s="37" t="s">
        <v>170</v>
      </c>
      <c r="C87" s="37"/>
      <c r="D87" s="37" t="s">
        <v>171</v>
      </c>
      <c r="E87" s="38" t="s">
        <v>143</v>
      </c>
      <c r="F87" s="39">
        <v>29.1</v>
      </c>
      <c r="G87" s="39">
        <v>32.5</v>
      </c>
      <c r="H87" s="36" t="s">
        <v>118</v>
      </c>
      <c r="I87" s="57">
        <v>111</v>
      </c>
    </row>
    <row r="88" spans="1:9">
      <c r="A88" s="36">
        <v>120</v>
      </c>
      <c r="B88" s="37" t="s">
        <v>172</v>
      </c>
      <c r="C88" s="37"/>
      <c r="D88" s="37" t="s">
        <v>173</v>
      </c>
      <c r="E88" s="38" t="s">
        <v>43</v>
      </c>
      <c r="F88" s="39">
        <v>40</v>
      </c>
      <c r="G88" s="39">
        <v>44.2</v>
      </c>
      <c r="H88" s="36" t="s">
        <v>141</v>
      </c>
      <c r="I88" s="57">
        <v>81</v>
      </c>
    </row>
    <row r="89" spans="1:9">
      <c r="A89" s="40">
        <v>137</v>
      </c>
      <c r="B89" s="44" t="s">
        <v>174</v>
      </c>
      <c r="C89" s="37" t="s">
        <v>175</v>
      </c>
      <c r="D89" s="37" t="s">
        <v>176</v>
      </c>
      <c r="E89" s="38" t="s">
        <v>43</v>
      </c>
      <c r="F89" s="39"/>
      <c r="G89" s="39">
        <v>3.6</v>
      </c>
      <c r="H89" s="36"/>
      <c r="I89" s="57"/>
    </row>
    <row r="90" spans="1:9">
      <c r="A90" s="40">
        <v>138</v>
      </c>
      <c r="B90" s="44" t="s">
        <v>177</v>
      </c>
      <c r="C90" s="37" t="s">
        <v>178</v>
      </c>
      <c r="D90" s="37" t="s">
        <v>179</v>
      </c>
      <c r="E90" s="38" t="s">
        <v>43</v>
      </c>
      <c r="F90" s="39"/>
      <c r="G90" s="39">
        <v>3.6</v>
      </c>
      <c r="H90" s="36"/>
      <c r="I90" s="57"/>
    </row>
    <row r="91" spans="1:9">
      <c r="A91" s="40">
        <v>139</v>
      </c>
      <c r="B91" s="44" t="s">
        <v>180</v>
      </c>
      <c r="C91" s="37" t="s">
        <v>181</v>
      </c>
      <c r="D91" s="37" t="s">
        <v>182</v>
      </c>
      <c r="E91" s="38" t="s">
        <v>43</v>
      </c>
      <c r="F91" s="39"/>
      <c r="G91" s="39">
        <v>8.8</v>
      </c>
      <c r="H91" s="36"/>
      <c r="I91" s="57"/>
    </row>
    <row r="92" spans="1:9">
      <c r="A92" s="21"/>
      <c r="B92" s="16" t="s">
        <v>183</v>
      </c>
      <c r="C92" s="16"/>
      <c r="D92" s="37" t="s">
        <v>183</v>
      </c>
      <c r="E92" s="38"/>
      <c r="F92" s="39"/>
      <c r="G92" s="39"/>
      <c r="H92" s="36"/>
      <c r="I92" s="57"/>
    </row>
    <row r="93" spans="1:9">
      <c r="A93" s="36">
        <v>90</v>
      </c>
      <c r="B93" s="37" t="s">
        <v>184</v>
      </c>
      <c r="C93" s="37"/>
      <c r="D93" s="37" t="s">
        <v>184</v>
      </c>
      <c r="E93" s="38" t="s">
        <v>43</v>
      </c>
      <c r="F93" s="39">
        <v>35</v>
      </c>
      <c r="G93" s="39">
        <v>38.7</v>
      </c>
      <c r="H93" s="36" t="s">
        <v>93</v>
      </c>
      <c r="I93" s="57">
        <v>93</v>
      </c>
    </row>
    <row r="94" spans="1:9">
      <c r="A94" s="36">
        <v>91</v>
      </c>
      <c r="B94" s="37" t="s">
        <v>185</v>
      </c>
      <c r="C94" s="37"/>
      <c r="D94" s="37" t="s">
        <v>186</v>
      </c>
      <c r="E94" s="38" t="s">
        <v>187</v>
      </c>
      <c r="F94" s="39">
        <v>8.9</v>
      </c>
      <c r="G94" s="39">
        <v>10.5</v>
      </c>
      <c r="H94" s="36" t="s">
        <v>104</v>
      </c>
      <c r="I94" s="57">
        <v>343</v>
      </c>
    </row>
    <row r="95" spans="1:9">
      <c r="A95" s="36">
        <v>56</v>
      </c>
      <c r="B95" s="37" t="s">
        <v>188</v>
      </c>
      <c r="C95" s="37"/>
      <c r="D95" s="37" t="s">
        <v>188</v>
      </c>
      <c r="E95" s="38" t="s">
        <v>187</v>
      </c>
      <c r="F95" s="39">
        <v>21.5</v>
      </c>
      <c r="G95" s="39">
        <v>23.8</v>
      </c>
      <c r="H95" s="36" t="s">
        <v>104</v>
      </c>
      <c r="I95" s="57">
        <v>151</v>
      </c>
    </row>
    <row r="96" spans="1:9">
      <c r="A96" s="36">
        <v>35</v>
      </c>
      <c r="B96" s="37" t="s">
        <v>189</v>
      </c>
      <c r="C96" s="37"/>
      <c r="D96" s="42" t="s">
        <v>190</v>
      </c>
      <c r="E96" s="43" t="s">
        <v>187</v>
      </c>
      <c r="F96" s="21">
        <v>34.1</v>
      </c>
      <c r="G96" s="21">
        <v>37.7</v>
      </c>
      <c r="H96" s="21" t="s">
        <v>104</v>
      </c>
      <c r="I96" s="21">
        <v>95</v>
      </c>
    </row>
    <row r="97" spans="1:9">
      <c r="A97" s="36"/>
      <c r="B97" s="37" t="s">
        <v>191</v>
      </c>
      <c r="C97" s="37"/>
      <c r="D97" s="37" t="s">
        <v>191</v>
      </c>
      <c r="E97" s="38"/>
      <c r="F97" s="39"/>
      <c r="G97" s="39"/>
      <c r="H97" s="36"/>
      <c r="I97" s="57"/>
    </row>
    <row r="98" spans="1:9">
      <c r="A98" s="36">
        <v>103</v>
      </c>
      <c r="B98" s="37" t="s">
        <v>192</v>
      </c>
      <c r="C98" s="37"/>
      <c r="D98" s="37" t="s">
        <v>192</v>
      </c>
      <c r="E98" s="38" t="s">
        <v>193</v>
      </c>
      <c r="F98" s="39">
        <v>47.6</v>
      </c>
      <c r="G98" s="39">
        <v>53.5</v>
      </c>
      <c r="H98" s="36" t="s">
        <v>118</v>
      </c>
      <c r="I98" s="57">
        <v>67</v>
      </c>
    </row>
    <row r="99" spans="1:9">
      <c r="A99" s="36">
        <v>105</v>
      </c>
      <c r="B99" s="37" t="s">
        <v>194</v>
      </c>
      <c r="C99" s="37"/>
      <c r="D99" s="37" t="s">
        <v>194</v>
      </c>
      <c r="E99" s="38" t="s">
        <v>43</v>
      </c>
      <c r="F99" s="39">
        <v>47.9</v>
      </c>
      <c r="G99" s="39">
        <v>53</v>
      </c>
      <c r="H99" s="36" t="s">
        <v>104</v>
      </c>
      <c r="I99" s="57">
        <v>68</v>
      </c>
    </row>
    <row r="100" spans="1:9">
      <c r="A100" s="36"/>
      <c r="B100" s="37" t="s">
        <v>195</v>
      </c>
      <c r="C100" s="37"/>
      <c r="D100" s="37" t="s">
        <v>195</v>
      </c>
      <c r="E100" s="38" t="s">
        <v>43</v>
      </c>
      <c r="F100" s="39">
        <v>5.9</v>
      </c>
      <c r="G100" s="39">
        <v>6.5</v>
      </c>
      <c r="H100" s="36" t="s">
        <v>93</v>
      </c>
      <c r="I100" s="57">
        <v>554</v>
      </c>
    </row>
    <row r="101" spans="1:9">
      <c r="A101" s="36"/>
      <c r="B101" s="37" t="s">
        <v>196</v>
      </c>
      <c r="C101" s="37"/>
      <c r="D101" s="37" t="s">
        <v>196</v>
      </c>
      <c r="E101" s="38" t="s">
        <v>43</v>
      </c>
      <c r="F101" s="39">
        <v>3</v>
      </c>
      <c r="G101" s="39">
        <v>3.3</v>
      </c>
      <c r="H101" s="36" t="s">
        <v>93</v>
      </c>
      <c r="I101" s="57">
        <v>1091</v>
      </c>
    </row>
    <row r="102" spans="1:9">
      <c r="A102" s="36">
        <v>108</v>
      </c>
      <c r="B102" s="37" t="s">
        <v>197</v>
      </c>
      <c r="C102" s="37"/>
      <c r="D102" s="37" t="s">
        <v>197</v>
      </c>
      <c r="E102" s="38" t="s">
        <v>43</v>
      </c>
      <c r="F102" s="39">
        <v>10</v>
      </c>
      <c r="G102" s="39">
        <v>11.1</v>
      </c>
      <c r="H102" s="36" t="s">
        <v>198</v>
      </c>
      <c r="I102" s="57">
        <v>324</v>
      </c>
    </row>
    <row r="103" spans="1:9">
      <c r="A103" s="36">
        <v>125</v>
      </c>
      <c r="B103" s="37" t="s">
        <v>199</v>
      </c>
      <c r="C103" s="37"/>
      <c r="D103" s="37" t="s">
        <v>199</v>
      </c>
      <c r="E103" s="38" t="s">
        <v>43</v>
      </c>
      <c r="F103" s="39">
        <v>5.3</v>
      </c>
      <c r="G103" s="39">
        <v>5.8</v>
      </c>
      <c r="H103" s="36" t="s">
        <v>93</v>
      </c>
      <c r="I103" s="57">
        <v>621</v>
      </c>
    </row>
    <row r="104" spans="1:9">
      <c r="A104" s="36">
        <v>107</v>
      </c>
      <c r="B104" s="37" t="s">
        <v>200</v>
      </c>
      <c r="C104" s="37"/>
      <c r="D104" s="37" t="s">
        <v>200</v>
      </c>
      <c r="E104" s="38" t="s">
        <v>43</v>
      </c>
      <c r="F104" s="39">
        <v>7.3</v>
      </c>
      <c r="G104" s="39">
        <v>8.1</v>
      </c>
      <c r="H104" s="36" t="s">
        <v>93</v>
      </c>
      <c r="I104" s="57">
        <v>444</v>
      </c>
    </row>
    <row r="105" spans="1:9">
      <c r="A105" s="36">
        <v>192</v>
      </c>
      <c r="B105" s="37" t="s">
        <v>201</v>
      </c>
      <c r="C105" s="37"/>
      <c r="D105" s="37" t="s">
        <v>201</v>
      </c>
      <c r="E105" s="38" t="s">
        <v>43</v>
      </c>
      <c r="F105" s="39">
        <v>11.7</v>
      </c>
      <c r="G105" s="39">
        <v>12.9</v>
      </c>
      <c r="H105" s="36" t="s">
        <v>93</v>
      </c>
      <c r="I105" s="57">
        <v>279</v>
      </c>
    </row>
    <row r="106" spans="1:9">
      <c r="A106" s="36">
        <v>172</v>
      </c>
      <c r="B106" s="37" t="s">
        <v>202</v>
      </c>
      <c r="C106" s="37"/>
      <c r="D106" s="37" t="s">
        <v>202</v>
      </c>
      <c r="E106" s="38" t="s">
        <v>43</v>
      </c>
      <c r="F106" s="39">
        <v>3.7</v>
      </c>
      <c r="G106" s="39">
        <v>4.1</v>
      </c>
      <c r="H106" s="36" t="s">
        <v>93</v>
      </c>
      <c r="I106" s="57">
        <v>878</v>
      </c>
    </row>
    <row r="107" spans="1:9">
      <c r="A107" s="36">
        <v>102</v>
      </c>
      <c r="B107" s="37" t="s">
        <v>203</v>
      </c>
      <c r="C107" s="37"/>
      <c r="D107" s="37" t="s">
        <v>203</v>
      </c>
      <c r="E107" s="38" t="s">
        <v>43</v>
      </c>
      <c r="F107" s="39">
        <v>3.8</v>
      </c>
      <c r="G107" s="39">
        <v>4.2</v>
      </c>
      <c r="H107" s="36" t="s">
        <v>93</v>
      </c>
      <c r="I107" s="57">
        <v>857</v>
      </c>
    </row>
    <row r="108" spans="1:9">
      <c r="A108" s="36">
        <v>154</v>
      </c>
      <c r="B108" s="37" t="s">
        <v>204</v>
      </c>
      <c r="C108" s="37"/>
      <c r="D108" s="37" t="s">
        <v>204</v>
      </c>
      <c r="E108" s="38" t="s">
        <v>43</v>
      </c>
      <c r="F108" s="39">
        <v>17.6</v>
      </c>
      <c r="G108" s="39">
        <v>19.4</v>
      </c>
      <c r="H108" s="36" t="s">
        <v>93</v>
      </c>
      <c r="I108" s="57">
        <v>186</v>
      </c>
    </row>
    <row r="109" spans="1:9">
      <c r="A109" s="36">
        <v>121</v>
      </c>
      <c r="B109" s="37" t="s">
        <v>205</v>
      </c>
      <c r="C109" s="37"/>
      <c r="D109" s="37" t="s">
        <v>205</v>
      </c>
      <c r="E109" s="38" t="s">
        <v>43</v>
      </c>
      <c r="F109" s="39">
        <v>12.6</v>
      </c>
      <c r="G109" s="39">
        <v>13.9</v>
      </c>
      <c r="H109" s="36" t="s">
        <v>93</v>
      </c>
      <c r="I109" s="57">
        <v>259</v>
      </c>
    </row>
    <row r="110" spans="1:9">
      <c r="A110" s="36">
        <v>40</v>
      </c>
      <c r="B110" s="37" t="s">
        <v>206</v>
      </c>
      <c r="C110" s="37"/>
      <c r="D110" s="37" t="s">
        <v>206</v>
      </c>
      <c r="E110" s="38" t="s">
        <v>43</v>
      </c>
      <c r="F110" s="39">
        <v>7.3</v>
      </c>
      <c r="G110" s="39">
        <v>8.1</v>
      </c>
      <c r="H110" s="36" t="s">
        <v>93</v>
      </c>
      <c r="I110" s="57">
        <v>444</v>
      </c>
    </row>
    <row r="111" spans="1:9">
      <c r="A111" s="36">
        <v>140</v>
      </c>
      <c r="B111" s="37" t="s">
        <v>207</v>
      </c>
      <c r="C111" s="37"/>
      <c r="D111" s="37" t="s">
        <v>207</v>
      </c>
      <c r="E111" s="38" t="s">
        <v>43</v>
      </c>
      <c r="F111" s="39">
        <v>2.9</v>
      </c>
      <c r="G111" s="39">
        <v>3.2</v>
      </c>
      <c r="H111" s="36" t="s">
        <v>93</v>
      </c>
      <c r="I111" s="57">
        <v>1125</v>
      </c>
    </row>
    <row r="112" spans="1:9">
      <c r="A112" s="36">
        <v>152</v>
      </c>
      <c r="B112" s="37" t="s">
        <v>208</v>
      </c>
      <c r="C112" s="37"/>
      <c r="D112" s="37" t="s">
        <v>208</v>
      </c>
      <c r="E112" s="38" t="s">
        <v>43</v>
      </c>
      <c r="F112" s="39">
        <v>1.4</v>
      </c>
      <c r="G112" s="39">
        <v>1.5</v>
      </c>
      <c r="H112" s="36" t="s">
        <v>93</v>
      </c>
      <c r="I112" s="57">
        <v>2400</v>
      </c>
    </row>
    <row r="113" spans="1:9">
      <c r="A113" s="36">
        <v>131</v>
      </c>
      <c r="B113" s="37" t="s">
        <v>209</v>
      </c>
      <c r="C113" s="37"/>
      <c r="D113" s="37" t="s">
        <v>209</v>
      </c>
      <c r="E113" s="38" t="s">
        <v>43</v>
      </c>
      <c r="F113" s="39">
        <v>3.8</v>
      </c>
      <c r="G113" s="39">
        <v>4.2</v>
      </c>
      <c r="H113" s="36" t="s">
        <v>93</v>
      </c>
      <c r="I113" s="57">
        <v>857</v>
      </c>
    </row>
    <row r="114" ht="24" spans="1:9">
      <c r="A114" s="36">
        <v>132</v>
      </c>
      <c r="B114" s="37" t="s">
        <v>210</v>
      </c>
      <c r="C114" s="37"/>
      <c r="D114" s="37" t="s">
        <v>210</v>
      </c>
      <c r="E114" s="38" t="s">
        <v>43</v>
      </c>
      <c r="F114" s="39">
        <v>9.4</v>
      </c>
      <c r="G114" s="39">
        <v>10.3</v>
      </c>
      <c r="H114" s="36" t="s">
        <v>93</v>
      </c>
      <c r="I114" s="57">
        <v>350</v>
      </c>
    </row>
    <row r="115" spans="1:9">
      <c r="A115" s="36">
        <v>169</v>
      </c>
      <c r="B115" s="37" t="s">
        <v>211</v>
      </c>
      <c r="C115" s="37"/>
      <c r="D115" s="37" t="s">
        <v>211</v>
      </c>
      <c r="E115" s="38" t="s">
        <v>43</v>
      </c>
      <c r="F115" s="39">
        <v>0.9</v>
      </c>
      <c r="G115" s="39">
        <v>1</v>
      </c>
      <c r="H115" s="36" t="s">
        <v>93</v>
      </c>
      <c r="I115" s="57">
        <v>3600</v>
      </c>
    </row>
    <row r="116" spans="1:9">
      <c r="A116" s="36"/>
      <c r="B116" s="37"/>
      <c r="C116" s="37" t="s">
        <v>212</v>
      </c>
      <c r="D116" s="37" t="s">
        <v>213</v>
      </c>
      <c r="E116" s="38" t="s">
        <v>43</v>
      </c>
      <c r="F116" s="39"/>
      <c r="G116" s="39">
        <v>63.6</v>
      </c>
      <c r="H116" s="36"/>
      <c r="I116" s="57"/>
    </row>
    <row r="117" ht="24" spans="1:9">
      <c r="A117" s="36"/>
      <c r="B117" s="37"/>
      <c r="C117" s="37" t="s">
        <v>214</v>
      </c>
      <c r="D117" s="37" t="s">
        <v>215</v>
      </c>
      <c r="E117" s="38" t="s">
        <v>43</v>
      </c>
      <c r="F117" s="39"/>
      <c r="G117" s="39">
        <v>6.1</v>
      </c>
      <c r="H117" s="36"/>
      <c r="I117" s="57"/>
    </row>
    <row r="118" spans="1:9">
      <c r="A118" s="36"/>
      <c r="B118" s="37"/>
      <c r="C118" s="37"/>
      <c r="D118" s="37"/>
      <c r="E118" s="38"/>
      <c r="F118" s="39"/>
      <c r="G118" s="39"/>
      <c r="H118" s="36"/>
      <c r="I118" s="57"/>
    </row>
    <row r="119" spans="1:9">
      <c r="A119" s="70"/>
      <c r="B119" s="71"/>
      <c r="C119" s="71"/>
      <c r="D119" s="71"/>
      <c r="E119" s="72"/>
      <c r="F119" s="73"/>
      <c r="G119" s="73"/>
      <c r="H119" s="70"/>
      <c r="I119" s="76"/>
    </row>
    <row r="120" spans="1:9">
      <c r="A120" s="5" t="s">
        <v>216</v>
      </c>
      <c r="D120" s="71"/>
      <c r="E120" s="72"/>
      <c r="F120" s="73"/>
      <c r="G120" s="73"/>
      <c r="H120" s="70"/>
      <c r="I120" s="76"/>
    </row>
    <row r="121" spans="4:9">
      <c r="D121" s="71"/>
      <c r="E121" s="72"/>
      <c r="F121" s="73"/>
      <c r="G121" s="73"/>
      <c r="H121" s="70"/>
      <c r="I121" s="76"/>
    </row>
    <row r="122" spans="4:9">
      <c r="D122" s="71"/>
      <c r="E122" s="72"/>
      <c r="F122" s="73"/>
      <c r="G122" s="73"/>
      <c r="H122" s="70"/>
      <c r="I122" s="76"/>
    </row>
  </sheetData>
  <autoFilter xmlns:etc="http://www.wps.cn/officeDocument/2017/etCustomData" ref="A20:CP121" etc:filterBottomFollowUsedRange="0">
    <extLst/>
  </autoFilter>
  <mergeCells count="20">
    <mergeCell ref="A1:I1"/>
    <mergeCell ref="A2:I2"/>
    <mergeCell ref="A3:I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G4:I19"/>
  </mergeCells>
  <conditionalFormatting sqref="A$1:A$1048576">
    <cfRule type="duplicateValues" dxfId="0" priority="1"/>
    <cfRule type="duplicateValues" dxfId="0" priority="2"/>
  </conditionalFormatting>
  <printOptions horizontalCentered="1"/>
  <pageMargins left="0.0791666666666667" right="0.0791666666666667" top="0.396527777777778" bottom="0.396527777777778" header="0.197916666666667" footer="0.197916666666667"/>
  <pageSetup paperSize="9" scale="86" orientation="portrait"/>
  <headerFooter>
    <oddFooter>&amp;R&amp;D &amp;T</oddFooter>
  </headerFooter>
  <colBreaks count="1" manualBreakCount="1">
    <brk id="9" max="1048575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3"/>
  <sheetViews>
    <sheetView workbookViewId="0">
      <selection activeCell="F39" sqref="F39"/>
    </sheetView>
  </sheetViews>
  <sheetFormatPr defaultColWidth="9" defaultRowHeight="13.5"/>
  <cols>
    <col min="7" max="7" width="11.375"/>
    <col min="8" max="8" width="27.5"/>
    <col min="9" max="10" width="16.25"/>
  </cols>
  <sheetData>
    <row r="1" spans="1:24">
      <c r="A1" t="s">
        <v>217</v>
      </c>
      <c r="B1" t="s">
        <v>218</v>
      </c>
      <c r="C1" t="s">
        <v>219</v>
      </c>
      <c r="D1" t="s">
        <v>220</v>
      </c>
      <c r="E1" t="s">
        <v>221</v>
      </c>
      <c r="F1" t="s">
        <v>222</v>
      </c>
      <c r="G1" t="s">
        <v>223</v>
      </c>
      <c r="H1" t="s">
        <v>224</v>
      </c>
      <c r="I1" t="s">
        <v>225</v>
      </c>
      <c r="J1" t="s">
        <v>226</v>
      </c>
      <c r="K1" t="s">
        <v>227</v>
      </c>
      <c r="L1" t="s">
        <v>228</v>
      </c>
      <c r="M1" t="s">
        <v>229</v>
      </c>
      <c r="N1" t="s">
        <v>230</v>
      </c>
      <c r="O1" t="s">
        <v>231</v>
      </c>
      <c r="P1" t="s">
        <v>232</v>
      </c>
      <c r="Q1" t="s">
        <v>233</v>
      </c>
      <c r="R1" t="s">
        <v>234</v>
      </c>
      <c r="S1" t="s">
        <v>235</v>
      </c>
      <c r="T1" t="s">
        <v>236</v>
      </c>
      <c r="U1" t="s">
        <v>237</v>
      </c>
      <c r="V1" t="s">
        <v>238</v>
      </c>
      <c r="W1" t="s">
        <v>239</v>
      </c>
      <c r="X1" t="s">
        <v>240</v>
      </c>
    </row>
    <row r="2" spans="1:22">
      <c r="A2" t="s">
        <v>241</v>
      </c>
      <c r="B2" t="s">
        <v>242</v>
      </c>
      <c r="C2" s="77" t="s">
        <v>243</v>
      </c>
      <c r="D2">
        <v>418</v>
      </c>
      <c r="E2">
        <v>14</v>
      </c>
      <c r="F2" t="s">
        <v>244</v>
      </c>
      <c r="G2" t="s">
        <v>244</v>
      </c>
      <c r="H2">
        <v>27393</v>
      </c>
      <c r="J2" t="s">
        <v>245</v>
      </c>
      <c r="K2" t="s">
        <v>246</v>
      </c>
      <c r="L2">
        <v>10576</v>
      </c>
      <c r="M2" t="s">
        <v>247</v>
      </c>
      <c r="P2">
        <v>16</v>
      </c>
      <c r="Q2" t="s">
        <v>248</v>
      </c>
      <c r="R2">
        <v>100563997</v>
      </c>
      <c r="S2" t="s">
        <v>249</v>
      </c>
      <c r="T2" s="1">
        <v>45907.8302314815</v>
      </c>
      <c r="U2" t="s">
        <v>249</v>
      </c>
      <c r="V2" s="1">
        <v>45907.8302430556</v>
      </c>
    </row>
    <row r="3" spans="1:22">
      <c r="A3" t="s">
        <v>241</v>
      </c>
      <c r="B3" t="s">
        <v>242</v>
      </c>
      <c r="C3" s="77" t="s">
        <v>250</v>
      </c>
      <c r="D3">
        <v>416</v>
      </c>
      <c r="E3">
        <v>14</v>
      </c>
      <c r="F3" t="s">
        <v>244</v>
      </c>
      <c r="G3" t="s">
        <v>244</v>
      </c>
      <c r="H3">
        <v>27393</v>
      </c>
      <c r="J3" t="s">
        <v>245</v>
      </c>
      <c r="K3" t="s">
        <v>246</v>
      </c>
      <c r="L3">
        <v>10576</v>
      </c>
      <c r="M3" t="s">
        <v>247</v>
      </c>
      <c r="P3">
        <v>16</v>
      </c>
      <c r="Q3" t="s">
        <v>248</v>
      </c>
      <c r="R3">
        <v>100563997</v>
      </c>
      <c r="S3" t="s">
        <v>249</v>
      </c>
      <c r="T3" s="1">
        <v>45907.8303472222</v>
      </c>
      <c r="U3" t="s">
        <v>249</v>
      </c>
      <c r="V3" s="1">
        <v>45907.8303587963</v>
      </c>
    </row>
    <row r="4" spans="1:22">
      <c r="A4" t="s">
        <v>241</v>
      </c>
      <c r="B4" t="s">
        <v>242</v>
      </c>
      <c r="C4" s="77" t="s">
        <v>251</v>
      </c>
      <c r="D4">
        <v>417</v>
      </c>
      <c r="E4">
        <v>14</v>
      </c>
      <c r="F4" t="s">
        <v>244</v>
      </c>
      <c r="G4" t="s">
        <v>244</v>
      </c>
      <c r="H4">
        <v>27393</v>
      </c>
      <c r="J4" t="s">
        <v>245</v>
      </c>
      <c r="K4" t="s">
        <v>246</v>
      </c>
      <c r="L4">
        <v>10576</v>
      </c>
      <c r="M4" t="s">
        <v>247</v>
      </c>
      <c r="P4">
        <v>11</v>
      </c>
      <c r="Q4" t="s">
        <v>248</v>
      </c>
      <c r="R4">
        <v>100563997</v>
      </c>
      <c r="S4" t="s">
        <v>249</v>
      </c>
      <c r="T4" s="1">
        <v>45907.8306481481</v>
      </c>
      <c r="U4" t="s">
        <v>249</v>
      </c>
      <c r="V4" s="1">
        <v>45907.8306597222</v>
      </c>
    </row>
    <row r="5" spans="1:22">
      <c r="A5" t="s">
        <v>241</v>
      </c>
      <c r="B5" t="s">
        <v>242</v>
      </c>
      <c r="C5" s="77" t="s">
        <v>252</v>
      </c>
      <c r="D5">
        <v>414</v>
      </c>
      <c r="E5">
        <v>14</v>
      </c>
      <c r="F5" t="s">
        <v>244</v>
      </c>
      <c r="G5" t="s">
        <v>244</v>
      </c>
      <c r="H5">
        <v>27393</v>
      </c>
      <c r="J5" t="s">
        <v>245</v>
      </c>
      <c r="K5" t="s">
        <v>246</v>
      </c>
      <c r="L5">
        <v>10576</v>
      </c>
      <c r="M5" t="s">
        <v>247</v>
      </c>
      <c r="P5">
        <v>15</v>
      </c>
      <c r="Q5" t="s">
        <v>248</v>
      </c>
      <c r="R5">
        <v>100563997</v>
      </c>
      <c r="S5" t="s">
        <v>249</v>
      </c>
      <c r="T5" s="1">
        <v>45907.8308333333</v>
      </c>
      <c r="U5" t="s">
        <v>249</v>
      </c>
      <c r="V5" s="1">
        <v>45907.8308333333</v>
      </c>
    </row>
    <row r="6" spans="1:22">
      <c r="A6" t="s">
        <v>241</v>
      </c>
      <c r="B6" t="s">
        <v>242</v>
      </c>
      <c r="C6" s="77" t="s">
        <v>253</v>
      </c>
      <c r="D6">
        <v>415</v>
      </c>
      <c r="E6">
        <v>14</v>
      </c>
      <c r="F6" t="s">
        <v>244</v>
      </c>
      <c r="G6" t="s">
        <v>244</v>
      </c>
      <c r="H6">
        <v>27393</v>
      </c>
      <c r="J6" t="s">
        <v>245</v>
      </c>
      <c r="K6" t="s">
        <v>246</v>
      </c>
      <c r="L6">
        <v>10576</v>
      </c>
      <c r="M6" t="s">
        <v>247</v>
      </c>
      <c r="P6">
        <v>16</v>
      </c>
      <c r="Q6" t="s">
        <v>248</v>
      </c>
      <c r="R6">
        <v>100563997</v>
      </c>
      <c r="S6" t="s">
        <v>249</v>
      </c>
      <c r="T6" s="1">
        <v>45907.8309143518</v>
      </c>
      <c r="U6" t="s">
        <v>249</v>
      </c>
      <c r="V6" s="1">
        <v>45907.8309143518</v>
      </c>
    </row>
    <row r="7" spans="1:22">
      <c r="A7" t="s">
        <v>241</v>
      </c>
      <c r="B7" t="s">
        <v>242</v>
      </c>
      <c r="C7" s="77" t="s">
        <v>254</v>
      </c>
      <c r="D7">
        <v>420</v>
      </c>
      <c r="E7">
        <v>14</v>
      </c>
      <c r="F7" t="s">
        <v>244</v>
      </c>
      <c r="G7" t="s">
        <v>244</v>
      </c>
      <c r="H7">
        <v>27393</v>
      </c>
      <c r="J7" t="s">
        <v>245</v>
      </c>
      <c r="K7" t="s">
        <v>246</v>
      </c>
      <c r="L7">
        <v>10576</v>
      </c>
      <c r="M7" t="s">
        <v>247</v>
      </c>
      <c r="P7">
        <v>16</v>
      </c>
      <c r="Q7" t="s">
        <v>248</v>
      </c>
      <c r="R7">
        <v>100563997</v>
      </c>
      <c r="S7" t="s">
        <v>249</v>
      </c>
      <c r="T7" s="1">
        <v>45907.8310532407</v>
      </c>
      <c r="U7" t="s">
        <v>249</v>
      </c>
      <c r="V7" s="1">
        <v>45907.8310648148</v>
      </c>
    </row>
    <row r="8" spans="1:22">
      <c r="A8" t="s">
        <v>241</v>
      </c>
      <c r="B8" t="s">
        <v>242</v>
      </c>
      <c r="C8" s="77" t="s">
        <v>255</v>
      </c>
      <c r="D8">
        <v>419</v>
      </c>
      <c r="E8">
        <v>14</v>
      </c>
      <c r="F8" t="s">
        <v>244</v>
      </c>
      <c r="G8" t="s">
        <v>244</v>
      </c>
      <c r="H8">
        <v>27393</v>
      </c>
      <c r="J8" t="s">
        <v>245</v>
      </c>
      <c r="K8" t="s">
        <v>246</v>
      </c>
      <c r="L8">
        <v>10576</v>
      </c>
      <c r="M8" t="s">
        <v>247</v>
      </c>
      <c r="P8">
        <v>12</v>
      </c>
      <c r="Q8" t="s">
        <v>248</v>
      </c>
      <c r="R8">
        <v>100563997</v>
      </c>
      <c r="S8" t="s">
        <v>249</v>
      </c>
      <c r="T8" s="1">
        <v>45907.8311342593</v>
      </c>
      <c r="U8" t="s">
        <v>249</v>
      </c>
      <c r="V8" s="1">
        <v>45907.8311458333</v>
      </c>
    </row>
    <row r="9" spans="1:22">
      <c r="A9" t="s">
        <v>241</v>
      </c>
      <c r="B9" t="s">
        <v>242</v>
      </c>
      <c r="C9" s="77" t="s">
        <v>256</v>
      </c>
      <c r="D9">
        <v>424</v>
      </c>
      <c r="E9">
        <v>15</v>
      </c>
      <c r="F9" t="s">
        <v>244</v>
      </c>
      <c r="G9" t="s">
        <v>244</v>
      </c>
      <c r="H9">
        <v>27393</v>
      </c>
      <c r="J9" t="s">
        <v>245</v>
      </c>
      <c r="K9" t="s">
        <v>257</v>
      </c>
      <c r="L9">
        <v>10576</v>
      </c>
      <c r="M9" t="s">
        <v>247</v>
      </c>
      <c r="P9">
        <v>16</v>
      </c>
      <c r="Q9" t="s">
        <v>248</v>
      </c>
      <c r="R9">
        <v>100563997</v>
      </c>
      <c r="S9" t="s">
        <v>249</v>
      </c>
      <c r="T9" s="1">
        <v>45908.357650463</v>
      </c>
      <c r="U9" t="s">
        <v>249</v>
      </c>
      <c r="V9" s="1">
        <v>45908.357650463</v>
      </c>
    </row>
    <row r="10" spans="1:22">
      <c r="A10" t="s">
        <v>241</v>
      </c>
      <c r="B10" t="s">
        <v>242</v>
      </c>
      <c r="C10" s="77" t="s">
        <v>258</v>
      </c>
      <c r="D10">
        <v>422</v>
      </c>
      <c r="E10">
        <v>15</v>
      </c>
      <c r="F10" t="s">
        <v>244</v>
      </c>
      <c r="G10" t="s">
        <v>244</v>
      </c>
      <c r="H10">
        <v>27393</v>
      </c>
      <c r="J10" t="s">
        <v>245</v>
      </c>
      <c r="K10" t="s">
        <v>257</v>
      </c>
      <c r="L10">
        <v>10576</v>
      </c>
      <c r="M10" t="s">
        <v>247</v>
      </c>
      <c r="P10">
        <v>8</v>
      </c>
      <c r="Q10" t="s">
        <v>248</v>
      </c>
      <c r="R10">
        <v>100563997</v>
      </c>
      <c r="S10" t="s">
        <v>249</v>
      </c>
      <c r="T10" s="1">
        <v>45908.3579976852</v>
      </c>
      <c r="U10" t="s">
        <v>249</v>
      </c>
      <c r="V10" s="1">
        <v>45908.3580092593</v>
      </c>
    </row>
    <row r="11" spans="1:22">
      <c r="A11" t="s">
        <v>241</v>
      </c>
      <c r="B11" t="s">
        <v>242</v>
      </c>
      <c r="C11" s="77" t="s">
        <v>259</v>
      </c>
      <c r="D11">
        <v>423</v>
      </c>
      <c r="E11">
        <v>15</v>
      </c>
      <c r="F11" t="s">
        <v>244</v>
      </c>
      <c r="G11" t="s">
        <v>244</v>
      </c>
      <c r="H11">
        <v>27393</v>
      </c>
      <c r="J11" t="s">
        <v>245</v>
      </c>
      <c r="K11" t="s">
        <v>257</v>
      </c>
      <c r="L11">
        <v>10576</v>
      </c>
      <c r="M11" t="s">
        <v>247</v>
      </c>
      <c r="P11">
        <v>16</v>
      </c>
      <c r="Q11" t="s">
        <v>248</v>
      </c>
      <c r="R11">
        <v>100563997</v>
      </c>
      <c r="S11" t="s">
        <v>249</v>
      </c>
      <c r="T11" s="1">
        <v>45908.3649537037</v>
      </c>
      <c r="U11" t="s">
        <v>249</v>
      </c>
      <c r="V11" s="1">
        <v>45908.3649652778</v>
      </c>
    </row>
    <row r="12" spans="1:22">
      <c r="A12" t="s">
        <v>241</v>
      </c>
      <c r="B12" t="s">
        <v>242</v>
      </c>
      <c r="C12" s="77" t="s">
        <v>260</v>
      </c>
      <c r="D12">
        <v>426</v>
      </c>
      <c r="E12">
        <v>15</v>
      </c>
      <c r="F12" t="s">
        <v>244</v>
      </c>
      <c r="G12" t="s">
        <v>244</v>
      </c>
      <c r="H12">
        <v>27393</v>
      </c>
      <c r="J12" t="s">
        <v>245</v>
      </c>
      <c r="K12" t="s">
        <v>257</v>
      </c>
      <c r="L12">
        <v>10576</v>
      </c>
      <c r="M12" t="s">
        <v>247</v>
      </c>
      <c r="P12">
        <v>16</v>
      </c>
      <c r="Q12" t="s">
        <v>248</v>
      </c>
      <c r="R12">
        <v>100563997</v>
      </c>
      <c r="S12" t="s">
        <v>249</v>
      </c>
      <c r="T12" s="1">
        <v>45908.3863888889</v>
      </c>
      <c r="U12" t="s">
        <v>249</v>
      </c>
      <c r="V12" s="1">
        <v>45908.3863888889</v>
      </c>
    </row>
    <row r="13" spans="1:22">
      <c r="A13" t="s">
        <v>241</v>
      </c>
      <c r="B13" t="s">
        <v>242</v>
      </c>
      <c r="C13" s="77" t="s">
        <v>261</v>
      </c>
      <c r="D13">
        <v>427</v>
      </c>
      <c r="E13">
        <v>15</v>
      </c>
      <c r="F13" t="s">
        <v>244</v>
      </c>
      <c r="G13" t="s">
        <v>244</v>
      </c>
      <c r="H13">
        <v>27393</v>
      </c>
      <c r="J13" t="s">
        <v>245</v>
      </c>
      <c r="K13" t="s">
        <v>257</v>
      </c>
      <c r="L13">
        <v>10576</v>
      </c>
      <c r="M13" t="s">
        <v>247</v>
      </c>
      <c r="P13">
        <v>14</v>
      </c>
      <c r="Q13" t="s">
        <v>248</v>
      </c>
      <c r="R13">
        <v>100563997</v>
      </c>
      <c r="S13" t="s">
        <v>249</v>
      </c>
      <c r="T13" s="1">
        <v>45908.4057060185</v>
      </c>
      <c r="U13" t="s">
        <v>249</v>
      </c>
      <c r="V13" s="1">
        <v>45908.4057060185</v>
      </c>
    </row>
    <row r="14" spans="1:22">
      <c r="A14" t="s">
        <v>241</v>
      </c>
      <c r="B14" t="s">
        <v>242</v>
      </c>
      <c r="C14" s="77" t="s">
        <v>262</v>
      </c>
      <c r="D14">
        <v>425</v>
      </c>
      <c r="E14">
        <v>15</v>
      </c>
      <c r="F14" t="s">
        <v>244</v>
      </c>
      <c r="G14" t="s">
        <v>244</v>
      </c>
      <c r="H14">
        <v>27393</v>
      </c>
      <c r="J14" t="s">
        <v>245</v>
      </c>
      <c r="K14" t="s">
        <v>257</v>
      </c>
      <c r="L14">
        <v>10576</v>
      </c>
      <c r="M14" t="s">
        <v>247</v>
      </c>
      <c r="P14">
        <v>17</v>
      </c>
      <c r="Q14" t="s">
        <v>248</v>
      </c>
      <c r="R14">
        <v>100563997</v>
      </c>
      <c r="S14" t="s">
        <v>249</v>
      </c>
      <c r="T14" s="1">
        <v>45908.4369212963</v>
      </c>
      <c r="U14" t="s">
        <v>249</v>
      </c>
      <c r="V14" s="1">
        <v>45908.4369212963</v>
      </c>
    </row>
    <row r="15" spans="1:22">
      <c r="A15" t="s">
        <v>241</v>
      </c>
      <c r="B15" t="s">
        <v>242</v>
      </c>
      <c r="C15" s="77" t="s">
        <v>263</v>
      </c>
      <c r="D15">
        <v>421</v>
      </c>
      <c r="E15">
        <v>15</v>
      </c>
      <c r="F15" t="s">
        <v>244</v>
      </c>
      <c r="G15" t="s">
        <v>244</v>
      </c>
      <c r="H15">
        <v>27393</v>
      </c>
      <c r="J15" t="s">
        <v>245</v>
      </c>
      <c r="K15" t="s">
        <v>257</v>
      </c>
      <c r="L15">
        <v>10576</v>
      </c>
      <c r="M15" t="s">
        <v>247</v>
      </c>
      <c r="P15">
        <v>16</v>
      </c>
      <c r="Q15" t="s">
        <v>248</v>
      </c>
      <c r="R15">
        <v>100563997</v>
      </c>
      <c r="S15" t="s">
        <v>249</v>
      </c>
      <c r="T15" s="1">
        <v>45908.4536689815</v>
      </c>
      <c r="U15" t="s">
        <v>249</v>
      </c>
      <c r="V15" s="1">
        <v>45908.4536689815</v>
      </c>
    </row>
    <row r="16" spans="1:22">
      <c r="A16" t="s">
        <v>241</v>
      </c>
      <c r="B16" t="s">
        <v>242</v>
      </c>
      <c r="C16" s="77" t="s">
        <v>264</v>
      </c>
      <c r="D16">
        <v>325</v>
      </c>
      <c r="E16">
        <v>12</v>
      </c>
      <c r="F16" t="s">
        <v>244</v>
      </c>
      <c r="G16" t="s">
        <v>244</v>
      </c>
      <c r="H16">
        <v>27393</v>
      </c>
      <c r="J16" t="s">
        <v>245</v>
      </c>
      <c r="K16" t="s">
        <v>265</v>
      </c>
      <c r="L16">
        <v>10576</v>
      </c>
      <c r="M16" t="s">
        <v>247</v>
      </c>
      <c r="P16">
        <v>7</v>
      </c>
      <c r="Q16" t="s">
        <v>248</v>
      </c>
      <c r="R16">
        <v>100563997</v>
      </c>
      <c r="S16" t="s">
        <v>249</v>
      </c>
      <c r="T16" s="1">
        <v>45908.4873842593</v>
      </c>
      <c r="U16" t="s">
        <v>249</v>
      </c>
      <c r="V16" s="1">
        <v>45908.4873958333</v>
      </c>
    </row>
    <row r="17" spans="1:22">
      <c r="A17" t="s">
        <v>241</v>
      </c>
      <c r="B17" t="s">
        <v>242</v>
      </c>
      <c r="C17" s="77" t="s">
        <v>266</v>
      </c>
      <c r="D17">
        <v>323</v>
      </c>
      <c r="E17">
        <v>12</v>
      </c>
      <c r="F17" t="s">
        <v>244</v>
      </c>
      <c r="G17" t="s">
        <v>244</v>
      </c>
      <c r="H17">
        <v>27393</v>
      </c>
      <c r="J17" t="s">
        <v>245</v>
      </c>
      <c r="K17" t="s">
        <v>257</v>
      </c>
      <c r="L17">
        <v>10576</v>
      </c>
      <c r="M17" t="s">
        <v>247</v>
      </c>
      <c r="P17">
        <v>7</v>
      </c>
      <c r="Q17" t="s">
        <v>248</v>
      </c>
      <c r="R17">
        <v>100563997</v>
      </c>
      <c r="S17" t="s">
        <v>249</v>
      </c>
      <c r="T17" s="1">
        <v>45908.4875115741</v>
      </c>
      <c r="U17" t="s">
        <v>249</v>
      </c>
      <c r="V17" s="1">
        <v>45908.4875231481</v>
      </c>
    </row>
    <row r="18" spans="1:22">
      <c r="A18" t="s">
        <v>241</v>
      </c>
      <c r="B18" t="s">
        <v>242</v>
      </c>
      <c r="C18" s="77" t="s">
        <v>267</v>
      </c>
      <c r="D18">
        <v>432</v>
      </c>
      <c r="E18">
        <v>15</v>
      </c>
      <c r="F18" t="s">
        <v>244</v>
      </c>
      <c r="G18" t="s">
        <v>244</v>
      </c>
      <c r="H18">
        <v>27393</v>
      </c>
      <c r="J18" t="s">
        <v>245</v>
      </c>
      <c r="K18" t="s">
        <v>265</v>
      </c>
      <c r="L18">
        <v>10576</v>
      </c>
      <c r="M18" t="s">
        <v>247</v>
      </c>
      <c r="P18">
        <v>17</v>
      </c>
      <c r="Q18" t="s">
        <v>248</v>
      </c>
      <c r="R18">
        <v>100563997</v>
      </c>
      <c r="S18" t="s">
        <v>249</v>
      </c>
      <c r="T18" s="1">
        <v>45908.5206597222</v>
      </c>
      <c r="U18" t="s">
        <v>249</v>
      </c>
      <c r="V18" s="1">
        <v>45908.5206597222</v>
      </c>
    </row>
    <row r="19" spans="1:22">
      <c r="A19" t="s">
        <v>241</v>
      </c>
      <c r="B19" t="s">
        <v>242</v>
      </c>
      <c r="C19" s="77" t="s">
        <v>268</v>
      </c>
      <c r="D19">
        <v>428</v>
      </c>
      <c r="E19">
        <v>15</v>
      </c>
      <c r="F19" t="s">
        <v>244</v>
      </c>
      <c r="G19" t="s">
        <v>244</v>
      </c>
      <c r="H19">
        <v>27393</v>
      </c>
      <c r="J19" t="s">
        <v>245</v>
      </c>
      <c r="K19" t="s">
        <v>265</v>
      </c>
      <c r="L19">
        <v>10576</v>
      </c>
      <c r="M19" t="s">
        <v>247</v>
      </c>
      <c r="P19">
        <v>16</v>
      </c>
      <c r="Q19" t="s">
        <v>248</v>
      </c>
      <c r="R19">
        <v>100563997</v>
      </c>
      <c r="S19" t="s">
        <v>249</v>
      </c>
      <c r="T19" s="1">
        <v>45908.5212037037</v>
      </c>
      <c r="U19" t="s">
        <v>249</v>
      </c>
      <c r="V19" s="1">
        <v>45908.5212152778</v>
      </c>
    </row>
    <row r="20" spans="1:22">
      <c r="A20" t="s">
        <v>241</v>
      </c>
      <c r="B20" t="s">
        <v>242</v>
      </c>
      <c r="C20" s="77" t="s">
        <v>269</v>
      </c>
      <c r="D20">
        <v>430</v>
      </c>
      <c r="E20">
        <v>15</v>
      </c>
      <c r="F20" t="s">
        <v>244</v>
      </c>
      <c r="G20" t="s">
        <v>244</v>
      </c>
      <c r="H20">
        <v>27393</v>
      </c>
      <c r="J20" t="s">
        <v>245</v>
      </c>
      <c r="K20" t="s">
        <v>265</v>
      </c>
      <c r="L20">
        <v>10576</v>
      </c>
      <c r="M20" t="s">
        <v>247</v>
      </c>
      <c r="P20">
        <v>16</v>
      </c>
      <c r="Q20" t="s">
        <v>248</v>
      </c>
      <c r="R20">
        <v>100563997</v>
      </c>
      <c r="S20" t="s">
        <v>249</v>
      </c>
      <c r="T20" s="1">
        <v>45908.5214236111</v>
      </c>
      <c r="U20" t="s">
        <v>249</v>
      </c>
      <c r="V20" s="1">
        <v>45908.5214236111</v>
      </c>
    </row>
    <row r="21" spans="1:22">
      <c r="A21" t="s">
        <v>241</v>
      </c>
      <c r="B21" t="s">
        <v>242</v>
      </c>
      <c r="C21" s="77" t="s">
        <v>270</v>
      </c>
      <c r="D21">
        <v>431</v>
      </c>
      <c r="E21">
        <v>15</v>
      </c>
      <c r="F21" t="s">
        <v>244</v>
      </c>
      <c r="G21" t="s">
        <v>244</v>
      </c>
      <c r="H21">
        <v>27393</v>
      </c>
      <c r="J21" t="s">
        <v>245</v>
      </c>
      <c r="K21" t="s">
        <v>265</v>
      </c>
      <c r="L21">
        <v>10576</v>
      </c>
      <c r="M21" t="s">
        <v>247</v>
      </c>
      <c r="P21">
        <v>16</v>
      </c>
      <c r="Q21" t="s">
        <v>248</v>
      </c>
      <c r="R21">
        <v>100563997</v>
      </c>
      <c r="S21" t="s">
        <v>249</v>
      </c>
      <c r="T21" s="1">
        <v>45908.5215625</v>
      </c>
      <c r="U21" t="s">
        <v>249</v>
      </c>
      <c r="V21" s="1">
        <v>45908.5215625</v>
      </c>
    </row>
    <row r="22" spans="1:22">
      <c r="A22" t="s">
        <v>241</v>
      </c>
      <c r="B22" t="s">
        <v>242</v>
      </c>
      <c r="C22" s="77" t="s">
        <v>271</v>
      </c>
      <c r="D22">
        <v>433</v>
      </c>
      <c r="E22">
        <v>15</v>
      </c>
      <c r="F22" t="s">
        <v>244</v>
      </c>
      <c r="G22" t="s">
        <v>244</v>
      </c>
      <c r="H22">
        <v>27393</v>
      </c>
      <c r="J22" t="s">
        <v>245</v>
      </c>
      <c r="K22" t="s">
        <v>265</v>
      </c>
      <c r="L22">
        <v>10576</v>
      </c>
      <c r="M22" t="s">
        <v>247</v>
      </c>
      <c r="P22">
        <v>16</v>
      </c>
      <c r="Q22" t="s">
        <v>248</v>
      </c>
      <c r="R22">
        <v>100563997</v>
      </c>
      <c r="S22" t="s">
        <v>249</v>
      </c>
      <c r="T22" s="1">
        <v>45908.521712963</v>
      </c>
      <c r="U22" t="s">
        <v>249</v>
      </c>
      <c r="V22" s="1">
        <v>45908.521712963</v>
      </c>
    </row>
    <row r="23" spans="1:22">
      <c r="A23" t="s">
        <v>241</v>
      </c>
      <c r="B23" t="s">
        <v>242</v>
      </c>
      <c r="C23" s="77" t="s">
        <v>272</v>
      </c>
      <c r="D23">
        <v>429</v>
      </c>
      <c r="E23">
        <v>15</v>
      </c>
      <c r="F23" t="s">
        <v>244</v>
      </c>
      <c r="G23" t="s">
        <v>244</v>
      </c>
      <c r="H23">
        <v>27393</v>
      </c>
      <c r="J23" t="s">
        <v>245</v>
      </c>
      <c r="K23" t="s">
        <v>265</v>
      </c>
      <c r="L23">
        <v>10576</v>
      </c>
      <c r="M23" t="s">
        <v>247</v>
      </c>
      <c r="P23">
        <v>8</v>
      </c>
      <c r="Q23" t="s">
        <v>248</v>
      </c>
      <c r="R23">
        <v>100563997</v>
      </c>
      <c r="S23" t="s">
        <v>249</v>
      </c>
      <c r="T23" s="1">
        <v>45908.5218402778</v>
      </c>
      <c r="U23" t="s">
        <v>249</v>
      </c>
      <c r="V23" s="1">
        <v>45908.5218518519</v>
      </c>
    </row>
    <row r="24" spans="1:22">
      <c r="A24" t="s">
        <v>241</v>
      </c>
      <c r="B24" t="s">
        <v>242</v>
      </c>
      <c r="C24" s="77" t="s">
        <v>273</v>
      </c>
      <c r="D24">
        <v>434</v>
      </c>
      <c r="E24">
        <v>15</v>
      </c>
      <c r="F24" t="s">
        <v>244</v>
      </c>
      <c r="G24" t="s">
        <v>244</v>
      </c>
      <c r="H24">
        <v>27393</v>
      </c>
      <c r="J24" t="s">
        <v>245</v>
      </c>
      <c r="K24" t="s">
        <v>265</v>
      </c>
      <c r="L24">
        <v>10576</v>
      </c>
      <c r="M24" t="s">
        <v>247</v>
      </c>
      <c r="P24">
        <v>14</v>
      </c>
      <c r="Q24" t="s">
        <v>248</v>
      </c>
      <c r="R24">
        <v>100563997</v>
      </c>
      <c r="S24" t="s">
        <v>249</v>
      </c>
      <c r="T24" s="1">
        <v>45908.5219097222</v>
      </c>
      <c r="U24" t="s">
        <v>249</v>
      </c>
      <c r="V24" s="1">
        <v>45908.5219212963</v>
      </c>
    </row>
    <row r="30" spans="7:9">
      <c r="G30" t="s">
        <v>235</v>
      </c>
      <c r="H30" t="s">
        <v>229</v>
      </c>
      <c r="I30" t="s">
        <v>274</v>
      </c>
    </row>
    <row r="31" spans="7:9">
      <c r="G31" t="s">
        <v>249</v>
      </c>
      <c r="I31">
        <v>322</v>
      </c>
    </row>
    <row r="32" spans="8:9">
      <c r="H32" t="s">
        <v>247</v>
      </c>
      <c r="I32">
        <v>322</v>
      </c>
    </row>
    <row r="33" spans="7:9">
      <c r="G33" t="s">
        <v>275</v>
      </c>
      <c r="I33">
        <v>322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15C0196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ღ᭄秀秀໑ຼ₀₂₃</cp:lastModifiedBy>
  <dcterms:created xsi:type="dcterms:W3CDTF">2024-10-28T01:44:00Z</dcterms:created>
  <dcterms:modified xsi:type="dcterms:W3CDTF">2025-09-17T07:28:04Z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6CE24395FC164639ACD9FC1464F0F6C9_13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