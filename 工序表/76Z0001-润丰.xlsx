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 firstSheet="1" activeTab="1"/>
  </bookViews>
  <sheets>
    <sheet name="76Z0001" sheetId="1" state="hidden" r:id="rId1"/>
    <sheet name="76Z0001 (2)" sheetId="2" r:id="rId2"/>
  </sheets>
  <externalReferences>
    <externalReference r:id="rId3"/>
  </externalReferences>
  <definedNames>
    <definedName name="_xlnm._FilterDatabase" localSheetId="0" hidden="1">'76Z0001'!$A$20:$CV$113</definedName>
    <definedName name="_xlnm.Print_Titles" localSheetId="0">'76Z0001'!$1:$11</definedName>
    <definedName name="_xlnm.Print_Area" localSheetId="0">'76Z0001'!$A$1:$I$113</definedName>
    <definedName name="_xlnm._FilterDatabase" localSheetId="1" hidden="1">'76Z0001 (2)'!$A$20:$CJ$116</definedName>
    <definedName name="_xlnm.Print_Titles" localSheetId="1">'76Z0001 (2)'!$1:$11</definedName>
    <definedName name="_xlnm.Print_Area" localSheetId="1">'76Z0001 (2)'!$A$1:$I$116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<sst xmlns="http://schemas.openxmlformats.org/spreadsheetml/2006/main" count="777" uniqueCount="208">
  <si>
    <t>重庆尚上服饰有限公司</t>
  </si>
  <si>
    <t>款式工序表</t>
  </si>
  <si>
    <t>打印日期：2024-07-12 08:41:09</t>
  </si>
  <si>
    <t>生产制单号：</t>
  </si>
  <si>
    <t>==</t>
  </si>
  <si>
    <t>客　　户：</t>
  </si>
  <si>
    <t>mondetta</t>
  </si>
  <si>
    <t>客户款号：</t>
  </si>
  <si>
    <t>76Z0001</t>
  </si>
  <si>
    <t>款式描述：</t>
  </si>
  <si>
    <t>品质标准：</t>
  </si>
  <si>
    <t>数　　量：</t>
  </si>
  <si>
    <t>车缝时间：</t>
  </si>
  <si>
    <t>车缝10H台产：</t>
  </si>
  <si>
    <t>裁床10H台产：</t>
  </si>
  <si>
    <t>尾部10H台产</t>
  </si>
  <si>
    <t>裁床单价：</t>
  </si>
  <si>
    <t>车缝单价：</t>
  </si>
  <si>
    <t>后道单价：</t>
  </si>
  <si>
    <t>总 单 价：</t>
  </si>
  <si>
    <t>平均秒值：</t>
  </si>
  <si>
    <t>分 析 员：</t>
  </si>
  <si>
    <t>XXT-徐显婷</t>
  </si>
  <si>
    <t>工序号</t>
  </si>
  <si>
    <t>工序名称</t>
  </si>
  <si>
    <t>机器类型</t>
  </si>
  <si>
    <t>基础时间</t>
  </si>
  <si>
    <t>GST时间</t>
  </si>
  <si>
    <t>工序等级</t>
  </si>
  <si>
    <t>小时目标</t>
  </si>
  <si>
    <t>1-裁床</t>
  </si>
  <si>
    <t>松面布*1.1</t>
  </si>
  <si>
    <t>松布机</t>
  </si>
  <si>
    <t>E2</t>
  </si>
  <si>
    <t>拉面布*1.1</t>
  </si>
  <si>
    <t>拉布机</t>
  </si>
  <si>
    <t>E3</t>
  </si>
  <si>
    <t>裁剪面布*12</t>
  </si>
  <si>
    <t>电脑裁剪</t>
  </si>
  <si>
    <t>D4</t>
  </si>
  <si>
    <t>面布分包*12</t>
  </si>
  <si>
    <t>手工</t>
  </si>
  <si>
    <t>打编号*12</t>
  </si>
  <si>
    <t>面布验片*6</t>
  </si>
  <si>
    <t>切袋盖衬捆条*</t>
  </si>
  <si>
    <t>烫标/撕标</t>
  </si>
  <si>
    <t>烫袋盖标*1（撕标)</t>
  </si>
  <si>
    <t>压烫机</t>
  </si>
  <si>
    <t>粘朴机烫袋盖衬连剪断*2</t>
  </si>
  <si>
    <t>粘朴机</t>
  </si>
  <si>
    <t>松袋布*0.03</t>
  </si>
  <si>
    <t>拉袋布*0.03</t>
  </si>
  <si>
    <t>裁袋布*2</t>
  </si>
  <si>
    <t>袋布分包*2</t>
  </si>
  <si>
    <t>袋布分包*2（大包）</t>
  </si>
  <si>
    <t>烫钮眼衬*2</t>
  </si>
  <si>
    <t>烫腰头直眼衬*1*2</t>
  </si>
  <si>
    <t>中烫（气烫）</t>
  </si>
  <si>
    <t>开钮眼*2</t>
  </si>
  <si>
    <t>开腰头直眼*1*2</t>
  </si>
  <si>
    <t>电脑单头平眼车</t>
  </si>
  <si>
    <t>E4</t>
  </si>
  <si>
    <t>拉衬布</t>
  </si>
  <si>
    <t>拉衬布*0.0166</t>
  </si>
  <si>
    <t>裁衬布</t>
  </si>
  <si>
    <t>裁剪衬布*3（直眼算一片）</t>
  </si>
  <si>
    <t>电脑裁床</t>
  </si>
  <si>
    <t>衬布分包</t>
  </si>
  <si>
    <t>衬分包*2（大包）</t>
  </si>
  <si>
    <t>下裁片</t>
  </si>
  <si>
    <t>2-口袋</t>
  </si>
  <si>
    <t>热切侧袋织带*1</t>
  </si>
  <si>
    <t>热切侧袋织带*1（一次4根）</t>
  </si>
  <si>
    <t>热切机</t>
  </si>
  <si>
    <t>热切袋盖织带*2</t>
  </si>
  <si>
    <t>热切袋盖织带*2（一次4根）</t>
  </si>
  <si>
    <t>自动模板运侧袋盖连落织带及激光切止口及清理止口布*2</t>
  </si>
  <si>
    <t>自动模板运侧袋盖连落织带及激光切止口及清理止口布*2（一个模板9个 不含摆放时间 ）</t>
  </si>
  <si>
    <t>全自动模板机</t>
  </si>
  <si>
    <t>C1</t>
  </si>
  <si>
    <t>手工翻侧袋盖*2</t>
  </si>
  <si>
    <t>E1</t>
  </si>
  <si>
    <t>平车压侧袋盖明线*2</t>
  </si>
  <si>
    <t>电脑平车</t>
  </si>
  <si>
    <t>C4</t>
  </si>
  <si>
    <t>实样刀车带线车袋盖净样线*2</t>
  </si>
  <si>
    <t>电脑单针切刀车</t>
  </si>
  <si>
    <t>花样机订侧袋盖毛面魔术贴*2</t>
  </si>
  <si>
    <t>花样机订侧袋盖毛面魔术贴*2（车台定位）</t>
  </si>
  <si>
    <t>花样机</t>
  </si>
  <si>
    <t>平车收侧袋折位上下2*2</t>
  </si>
  <si>
    <t>平车收侧袋折位上下2*2（对剪口）</t>
  </si>
  <si>
    <t>中烫侧袋省位*2</t>
  </si>
  <si>
    <t>D1</t>
  </si>
  <si>
    <t>四线锁侧袋口散口*2</t>
  </si>
  <si>
    <t>电脑四线锁边车</t>
  </si>
  <si>
    <t>平车车侧袋口宽线*2</t>
  </si>
  <si>
    <t>#平车车侧袋口宽线*2</t>
  </si>
  <si>
    <t>手工实样烫侧袋三边*2</t>
  </si>
  <si>
    <t>D3</t>
  </si>
  <si>
    <t>花样机订侧袋勾面魔术贴2*2</t>
  </si>
  <si>
    <t>花样机订侧袋勾面魔术贴2*2（车台定位）</t>
  </si>
  <si>
    <t>3-前片</t>
  </si>
  <si>
    <t>平车落袋口暗线*2</t>
  </si>
  <si>
    <t>#平车落袋口暗线*2     不下吊挂</t>
  </si>
  <si>
    <t>实样扫粉前袋上口位*2</t>
  </si>
  <si>
    <t>平车拼前袋上口一段*2</t>
  </si>
  <si>
    <t>#平车拼前袋上口一段*2</t>
  </si>
  <si>
    <t>平车压袋口明线*2</t>
  </si>
  <si>
    <t>平车车袋布定位线</t>
  </si>
  <si>
    <t>平车落袋布固定袋布上口*2（针脚调稀）</t>
  </si>
  <si>
    <t>C3</t>
  </si>
  <si>
    <t>平车落袋布固定袋袋布上下连固定袋口上下打枣位*2</t>
  </si>
  <si>
    <t>平车固定袋口上下打枣位*2（车台定位）</t>
  </si>
  <si>
    <t>四线锁前袋布*2</t>
  </si>
  <si>
    <t>#四线锁前袋布*2</t>
  </si>
  <si>
    <t>4-组合</t>
  </si>
  <si>
    <t>挂片/配片</t>
  </si>
  <si>
    <t>B+</t>
  </si>
  <si>
    <t>蒸腰橡筋/米</t>
  </si>
  <si>
    <t>蒸箱</t>
  </si>
  <si>
    <t>量剪腰头橡筋*1</t>
  </si>
  <si>
    <t>拼接腰头橡筋*1</t>
  </si>
  <si>
    <t>点橡筋位*3</t>
  </si>
  <si>
    <t>#点橡筋位*3</t>
  </si>
  <si>
    <t>蒸脚口橡筋/米</t>
  </si>
  <si>
    <t>量剪脚口橡筋*2</t>
  </si>
  <si>
    <t>平车合脚口橡筋*2</t>
  </si>
  <si>
    <t>四线合侧缝*2</t>
  </si>
  <si>
    <t>#四线合侧缝*2</t>
  </si>
  <si>
    <t>冚车压侧缝明线*2</t>
  </si>
  <si>
    <t>#冚车压侧缝明线*2</t>
  </si>
  <si>
    <t>电脑双针三线冚车</t>
  </si>
  <si>
    <t>拆袋布定位线</t>
  </si>
  <si>
    <t>手工拆前袋固定线*2</t>
  </si>
  <si>
    <t>平车贴侧袋三边*2</t>
  </si>
  <si>
    <t>平车贴侧袋三边*2（口袋车三角 一边落织带 袋已烫好）</t>
  </si>
  <si>
    <t>B1</t>
  </si>
  <si>
    <t>自动模版走侧袋装饰线连落袋盖及画贴袋位线*2</t>
  </si>
  <si>
    <t>自动模版走侧袋装饰线连落袋盖及画贴袋位线*2（小型模版机）</t>
  </si>
  <si>
    <t>手工扫侧袋位</t>
  </si>
  <si>
    <t>51.52工序拆分为3个工序</t>
  </si>
  <si>
    <t>平车走实样装饰线</t>
  </si>
  <si>
    <t>平车落侧袋盖及压侧袋盖明线</t>
  </si>
  <si>
    <t>B3</t>
  </si>
  <si>
    <t>四线合前浪*1</t>
  </si>
  <si>
    <t>冚车压前浪明线*1</t>
  </si>
  <si>
    <t>四线合后浪*1</t>
  </si>
  <si>
    <t>#四线合后浪*1</t>
  </si>
  <si>
    <t>冚车压后浪明线*1</t>
  </si>
  <si>
    <t>四线对位合底浪</t>
  </si>
  <si>
    <t>小嘴冚车压底浪双线*2</t>
  </si>
  <si>
    <t>小嘴冚车压底浪双线*2（翻裤子两次）</t>
  </si>
  <si>
    <t>小嘴冚车</t>
  </si>
  <si>
    <t>四线对位上腰头橡筋*1</t>
  </si>
  <si>
    <t>#四线对位上腰头橡筋*1</t>
  </si>
  <si>
    <t>平车包固腰橡*2</t>
  </si>
  <si>
    <t>#平车包固腰橡*2（针距调稀）</t>
  </si>
  <si>
    <t>手工挑腰头固定线*2</t>
  </si>
  <si>
    <t>订主标于后腰中*2</t>
  </si>
  <si>
    <t>平车订主标尺码标于后中及追踪标洗水唛于左侧4</t>
  </si>
  <si>
    <t>冚车上架冚腰头明线一周*1</t>
  </si>
  <si>
    <t>#冚车上架冚腰头明线一周*1（活冚 腰已固定）</t>
  </si>
  <si>
    <t>B4</t>
  </si>
  <si>
    <t>平车固定橡筋于脚口一周*2</t>
  </si>
  <si>
    <t>平车车脚口明线一周*2</t>
  </si>
  <si>
    <t>#平车车脚口明线一周*2</t>
  </si>
  <si>
    <t>检验</t>
  </si>
  <si>
    <t>尾查（尾部）</t>
  </si>
  <si>
    <t>5-专机</t>
  </si>
  <si>
    <t>穿腰绳*1及比好长短</t>
  </si>
  <si>
    <t>打袋口枣*13（侧袋  前袋  后中）</t>
  </si>
  <si>
    <t>电脑打枣车</t>
  </si>
  <si>
    <t>平车成品固定后中</t>
  </si>
  <si>
    <t>平车成品固定侯中腰绳*1</t>
  </si>
  <si>
    <t>6-尾部</t>
  </si>
  <si>
    <t>验针</t>
  </si>
  <si>
    <t>大烫</t>
  </si>
  <si>
    <t>#大烫</t>
  </si>
  <si>
    <t>整烫（尾部）</t>
  </si>
  <si>
    <t>尾查</t>
  </si>
  <si>
    <t>#检验/剪线</t>
  </si>
  <si>
    <t>分色/分码</t>
  </si>
  <si>
    <t>分PO</t>
  </si>
  <si>
    <t>查码</t>
  </si>
  <si>
    <t>打腰卡</t>
  </si>
  <si>
    <t>EE</t>
  </si>
  <si>
    <t>打主吊牌*2</t>
  </si>
  <si>
    <t>单件折叠</t>
  </si>
  <si>
    <t>包装搬运</t>
  </si>
  <si>
    <t>装箱前检查包装</t>
  </si>
  <si>
    <t>装箱30件（拉纸箱、写箱号、封箱底、套胶袋、放天地板、放干燥剂、封箱、贴箱贴*4、称重）</t>
  </si>
  <si>
    <t>拉箱入库</t>
  </si>
  <si>
    <t>制表人：钱玲燕      审核：　　　    　 审批：　        批准：                          　　　　</t>
  </si>
  <si>
    <t xml:space="preserve"> </t>
  </si>
  <si>
    <t>平车固定后中腰绳*1</t>
  </si>
  <si>
    <t>#大烫（童装）</t>
  </si>
  <si>
    <t>#检验/剪线（童装）</t>
  </si>
  <si>
    <t>手工分缸号</t>
  </si>
  <si>
    <t>手工分缸号*1</t>
  </si>
  <si>
    <t>单件装袋</t>
  </si>
  <si>
    <t>单件装袋自动封口（放干燥剂）120件</t>
  </si>
  <si>
    <t>贴胶袋贴纸</t>
  </si>
  <si>
    <t>贴胶袋贴纸*1(120件）</t>
  </si>
  <si>
    <t>机打腰卡</t>
  </si>
  <si>
    <t>腰卡机</t>
  </si>
  <si>
    <t>装箱</t>
  </si>
  <si>
    <t>配色配码装箱30件（拉纸箱、写箱号、封箱底、套胶袋、放天地板、放干燥剂、封箱、贴箱贴*4、称重）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</si>
</sst>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49" fontId="1" fillId="0" borderId="2" xfId="0" applyNumberFormat="1" applyFont="1" applyFill="1" applyBorder="1" applyAlignment="1">
      <alignment horizontal="left" vertical="center"/>
    </xf>
    <xf numFmtId="49" fontId="1" fillId="0" borderId="3" xfId="0" applyNumberFormat="1" applyFont="1" applyFill="1" applyBorder="1" applyAlignment="1">
      <alignment horizontal="left" vertical="center"/>
    </xf>
    <xf numFmtId="49" fontId="1" fillId="0" borderId="4" xfId="0" applyNumberFormat="1" applyFont="1" applyFill="1" applyBorder="1" applyAlignment="1">
      <alignment horizontal="left" vertical="center"/>
    </xf>
    <xf numFmtId="0" fontId="1" fillId="0" borderId="1" xfId="0" applyFont="1" applyFill="1" applyBorder="1">
      <alignment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left" vertical="center"/>
    </xf>
    <xf numFmtId="9" fontId="1" fillId="0" borderId="3" xfId="0" applyNumberFormat="1" applyFont="1" applyFill="1" applyBorder="1" applyAlignment="1">
      <alignment horizontal="left" vertical="center"/>
    </xf>
    <xf numFmtId="9" fontId="1" fillId="0" borderId="4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0" borderId="1" xfId="0" applyFont="1" applyFill="1" applyBorder="1">
      <alignment vertical="center"/>
    </xf>
    <xf numFmtId="0" fontId="1" fillId="0" borderId="1" xfId="0" applyFont="1" applyBorder="1">
      <alignment vertical="center"/>
    </xf>
    <xf numFmtId="49" fontId="1" fillId="4" borderId="1" xfId="0" applyNumberFormat="1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176" fontId="1" fillId="0" borderId="1" xfId="0" applyNumberFormat="1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 wrapText="1"/>
    </xf>
    <xf numFmtId="176" fontId="1" fillId="0" borderId="1" xfId="0" applyNumberFormat="1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 wrapText="1"/>
    </xf>
    <xf numFmtId="176" fontId="1" fillId="3" borderId="1" xfId="0" applyNumberFormat="1" applyFont="1" applyFill="1" applyBorder="1">
      <alignment vertical="center"/>
    </xf>
    <xf numFmtId="177" fontId="1" fillId="0" borderId="1" xfId="0" applyNumberFormat="1" applyFont="1" applyBorder="1">
      <alignment vertical="center"/>
    </xf>
    <xf numFmtId="177" fontId="1" fillId="0" borderId="1" xfId="0" applyNumberFormat="1" applyFont="1" applyFill="1" applyBorder="1">
      <alignment vertical="center"/>
    </xf>
    <xf numFmtId="177" fontId="1" fillId="3" borderId="1" xfId="0" applyNumberFormat="1" applyFont="1" applyFill="1" applyBorder="1">
      <alignment vertical="center"/>
    </xf>
    <xf numFmtId="0" fontId="1" fillId="0" borderId="0" xfId="0" applyFont="1" applyFill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vertical="center"/>
    </xf>
    <xf numFmtId="49" fontId="8" fillId="0" borderId="1" xfId="0" applyNumberFormat="1" applyFont="1" applyFill="1" applyBorder="1" applyAlignment="1">
      <alignment vertical="center" wrapText="1"/>
    </xf>
    <xf numFmtId="176" fontId="8" fillId="0" borderId="1" xfId="0" applyNumberFormat="1" applyFont="1" applyFill="1" applyBorder="1">
      <alignment vertical="center"/>
    </xf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8" fillId="0" borderId="1" xfId="0" applyFont="1" applyBorder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77" fontId="8" fillId="0" borderId="1" xfId="0" applyNumberFormat="1" applyFont="1" applyFill="1" applyBorder="1">
      <alignment vertical="center"/>
    </xf>
    <xf numFmtId="0" fontId="8" fillId="0" borderId="0" xfId="0" applyFont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7" fillId="4" borderId="1" xfId="0" applyFont="1" applyFill="1" applyBorder="1">
      <alignment vertical="center"/>
    </xf>
    <xf numFmtId="49" fontId="1" fillId="4" borderId="1" xfId="0" applyNumberFormat="1" applyFont="1" applyFill="1" applyBorder="1" applyAlignment="1">
      <alignment vertical="center" wrapText="1"/>
    </xf>
    <xf numFmtId="49" fontId="2" fillId="4" borderId="1" xfId="0" applyNumberFormat="1" applyFont="1" applyFill="1" applyBorder="1" applyAlignment="1">
      <alignment vertical="center" wrapText="1"/>
    </xf>
    <xf numFmtId="0" fontId="1" fillId="4" borderId="1" xfId="0" applyFont="1" applyFill="1" applyBorder="1">
      <alignment vertical="center"/>
    </xf>
    <xf numFmtId="0" fontId="1" fillId="4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549275</xdr:colOff>
      <xdr:row>0</xdr:row>
      <xdr:rowOff>114300</xdr:rowOff>
    </xdr:from>
    <xdr:to>
      <xdr:col>8</xdr:col>
      <xdr:colOff>430529</xdr:colOff>
      <xdr:row>18</xdr:row>
      <xdr:rowOff>53975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74205" y="114300"/>
          <a:ext cx="2861945" cy="166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474345</xdr:colOff>
      <xdr:row>115</xdr:row>
      <xdr:rowOff>81915</xdr:rowOff>
    </xdr:from>
    <xdr:to>
      <xdr:col>8</xdr:col>
      <xdr:colOff>202565</xdr:colOff>
      <xdr:row>138</xdr:row>
      <xdr:rowOff>5715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07770" y="16918940"/>
          <a:ext cx="8401050" cy="3429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549275</xdr:colOff>
      <xdr:row>0</xdr:row>
      <xdr:rowOff>114300</xdr:rowOff>
    </xdr:from>
    <xdr:to>
      <xdr:col>9</xdr:col>
      <xdr:colOff>11430</xdr:colOff>
      <xdr:row>11</xdr:row>
      <xdr:rowOff>53975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35850" y="114300"/>
          <a:ext cx="2624455" cy="166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2012950</xdr:colOff>
      <xdr:row>117</xdr:row>
      <xdr:rowOff>126365</xdr:rowOff>
    </xdr:from>
    <xdr:to>
      <xdr:col>10</xdr:col>
      <xdr:colOff>356870</xdr:colOff>
      <xdr:row>139</xdr:row>
      <xdr:rowOff>78740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46375" y="18474690"/>
          <a:ext cx="8934450" cy="3305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32;&#24314;&#25991;&#20214;&#22841;\xwechat_files\aki19900920_ddfa\msg\file\2025-08\76Z0001&#23614;&#3709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76Z0001"/>
      <sheetName val="Sheet1"/>
    </sheetNames>
    <sheetDataSet>
      <sheetData sheetId="0">
        <row r="4">
          <cell r="B4" t="str">
            <v>24010004F</v>
          </cell>
        </row>
        <row r="5">
          <cell r="B5" t="str">
            <v>mondetta</v>
          </cell>
        </row>
        <row r="6">
          <cell r="B6" t="str">
            <v>76Z0001</v>
          </cell>
        </row>
        <row r="7">
          <cell r="B7" t="str">
            <v>梭织童装长裤  侧贴袋 橡筋腰</v>
          </cell>
        </row>
        <row r="9">
          <cell r="B9">
            <v>9570</v>
          </cell>
        </row>
        <row r="19">
          <cell r="B19" t="str">
            <v>QLY-钱玲燕</v>
          </cell>
        </row>
        <row r="20">
          <cell r="B20" t="str">
            <v>工序名称</v>
          </cell>
          <cell r="C20" t="str">
            <v>机器类型</v>
          </cell>
          <cell r="D20" t="str">
            <v>基础时间</v>
          </cell>
          <cell r="E20" t="str">
            <v>GST时间</v>
          </cell>
        </row>
        <row r="21">
          <cell r="B21" t="str">
            <v>5-专机</v>
          </cell>
        </row>
        <row r="22">
          <cell r="B22" t="str">
            <v>穿腰绳*1及比好长短</v>
          </cell>
          <cell r="C22" t="str">
            <v>手工</v>
          </cell>
          <cell r="D22">
            <v>35.1</v>
          </cell>
          <cell r="E22">
            <v>38.7</v>
          </cell>
        </row>
        <row r="23">
          <cell r="B23" t="str">
            <v>平车固定后中腰绳*1</v>
          </cell>
          <cell r="C23" t="str">
            <v>电脑平车</v>
          </cell>
          <cell r="D23">
            <v>5.8</v>
          </cell>
          <cell r="E23">
            <v>6.5</v>
          </cell>
        </row>
        <row r="24">
          <cell r="B24" t="str">
            <v>打袋口枣*13（侧袋  前袋  后中）</v>
          </cell>
          <cell r="C24" t="str">
            <v>电脑打枣车</v>
          </cell>
          <cell r="D24">
            <v>53.3</v>
          </cell>
          <cell r="E24">
            <v>58.9</v>
          </cell>
        </row>
        <row r="25">
          <cell r="B25" t="str">
            <v>6-尾部</v>
          </cell>
        </row>
        <row r="25">
          <cell r="E25">
            <v>104.1</v>
          </cell>
        </row>
        <row r="26">
          <cell r="B26" t="str">
            <v>#大烫（童装）</v>
          </cell>
          <cell r="C26" t="str">
            <v>整烫（尾部）</v>
          </cell>
          <cell r="D26">
            <v>43.2</v>
          </cell>
          <cell r="E26">
            <v>48.6</v>
          </cell>
        </row>
        <row r="27">
          <cell r="B27" t="str">
            <v>#检验/剪线（童装）</v>
          </cell>
          <cell r="C27" t="str">
            <v>手工</v>
          </cell>
          <cell r="D27">
            <v>43.2</v>
          </cell>
          <cell r="E27">
            <v>47.7</v>
          </cell>
        </row>
        <row r="28">
          <cell r="B28" t="str">
            <v>分色/分码</v>
          </cell>
          <cell r="C28" t="str">
            <v>手工</v>
          </cell>
          <cell r="D28">
            <v>5.9</v>
          </cell>
          <cell r="E28">
            <v>6.5</v>
          </cell>
        </row>
        <row r="29">
          <cell r="B29" t="str">
            <v>分PO</v>
          </cell>
          <cell r="C29" t="str">
            <v>手工</v>
          </cell>
          <cell r="D29">
            <v>3</v>
          </cell>
          <cell r="E29">
            <v>3.3</v>
          </cell>
        </row>
        <row r="30">
          <cell r="B30" t="str">
            <v>查码</v>
          </cell>
          <cell r="C30" t="str">
            <v>手工</v>
          </cell>
          <cell r="D30">
            <v>3.8</v>
          </cell>
          <cell r="E30">
            <v>4.2</v>
          </cell>
        </row>
        <row r="31">
          <cell r="B31" t="str">
            <v>机打腰卡</v>
          </cell>
          <cell r="C31" t="str">
            <v>腰卡机</v>
          </cell>
          <cell r="D31">
            <v>10.1</v>
          </cell>
          <cell r="E31">
            <v>11.1</v>
          </cell>
        </row>
        <row r="32">
          <cell r="B32" t="str">
            <v>打主吊牌*2</v>
          </cell>
          <cell r="C32" t="str">
            <v>手工</v>
          </cell>
          <cell r="D32">
            <v>8.8</v>
          </cell>
          <cell r="E32">
            <v>9.7</v>
          </cell>
        </row>
        <row r="33">
          <cell r="B33" t="str">
            <v>单件装袋自动封口（放干燥剂）120件</v>
          </cell>
          <cell r="C33" t="str">
            <v>手工</v>
          </cell>
          <cell r="D33">
            <v>12.6</v>
          </cell>
          <cell r="E33">
            <v>13.9</v>
          </cell>
        </row>
        <row r="34">
          <cell r="B34" t="str">
            <v>贴胶袋贴纸*1(120件）</v>
          </cell>
          <cell r="C34" t="str">
            <v>手工</v>
          </cell>
          <cell r="D34">
            <v>5.7</v>
          </cell>
          <cell r="E34">
            <v>6.3</v>
          </cell>
        </row>
        <row r="35">
          <cell r="B35" t="str">
            <v>单件折叠</v>
          </cell>
          <cell r="C35" t="str">
            <v>手工</v>
          </cell>
          <cell r="D35">
            <v>17.6</v>
          </cell>
          <cell r="E35">
            <v>19.4</v>
          </cell>
        </row>
        <row r="36">
          <cell r="B36" t="str">
            <v>验针</v>
          </cell>
          <cell r="C36" t="str">
            <v>手工</v>
          </cell>
          <cell r="D36">
            <v>3.8</v>
          </cell>
          <cell r="E36">
            <v>4.2</v>
          </cell>
        </row>
        <row r="37">
          <cell r="B37" t="str">
            <v>包装搬运</v>
          </cell>
          <cell r="C37" t="str">
            <v>手工</v>
          </cell>
          <cell r="D37">
            <v>3</v>
          </cell>
          <cell r="E37">
            <v>3.3</v>
          </cell>
        </row>
        <row r="38">
          <cell r="B38" t="str">
            <v>装箱前检查包装</v>
          </cell>
          <cell r="C38" t="str">
            <v>手工</v>
          </cell>
          <cell r="D38">
            <v>1.4</v>
          </cell>
          <cell r="E38">
            <v>1.6</v>
          </cell>
        </row>
        <row r="39">
          <cell r="B39" t="str">
            <v>配色配码装箱30件（拉纸箱、写箱号、封箱底、套胶袋、放天地板、放干燥剂、封箱、贴箱贴*4、称重）</v>
          </cell>
          <cell r="C39" t="str">
            <v>手工</v>
          </cell>
          <cell r="D39">
            <v>10.8</v>
          </cell>
          <cell r="E39">
            <v>11.9</v>
          </cell>
        </row>
        <row r="40">
          <cell r="B40" t="str">
            <v>拉箱入库</v>
          </cell>
          <cell r="C40" t="str">
            <v>手工</v>
          </cell>
          <cell r="D40">
            <v>0.9</v>
          </cell>
          <cell r="E40">
            <v>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113"/>
  <sheetViews>
    <sheetView view="pageBreakPreview" zoomScale="115" zoomScaleNormal="100" topLeftCell="A58" workbookViewId="0">
      <selection activeCell="J77" sqref="J77:J79"/>
    </sheetView>
  </sheetViews>
  <sheetFormatPr defaultColWidth="9" defaultRowHeight="12"/>
  <cols>
    <col min="1" max="1" width="9.625" style="8" customWidth="1"/>
    <col min="2" max="2" width="35.125" style="9" customWidth="1"/>
    <col min="3" max="3" width="4.56666666666667" style="1" customWidth="1"/>
    <col min="4" max="4" width="35" style="9" customWidth="1"/>
    <col min="5" max="5" width="16.625" style="9" customWidth="1"/>
    <col min="6" max="9" width="7.5" style="9" customWidth="1"/>
    <col min="10" max="10" width="22.3" style="9" customWidth="1"/>
    <col min="11" max="99" width="9" style="9"/>
    <col min="100" max="100" width="59.625" style="9" customWidth="1"/>
    <col min="101" max="16384" width="9" style="9"/>
  </cols>
  <sheetData>
    <row r="1" s="1" customFormat="1" ht="25.5" spans="1:9">
      <c r="A1" s="10" t="s">
        <v>0</v>
      </c>
      <c r="B1" s="10"/>
      <c r="C1" s="10"/>
      <c r="D1" s="11"/>
      <c r="E1" s="11"/>
      <c r="F1" s="11"/>
      <c r="G1" s="11"/>
      <c r="H1" s="11"/>
      <c r="I1" s="11"/>
    </row>
    <row r="2" s="1" customFormat="1" ht="20.25" spans="1:9">
      <c r="A2" s="12" t="s">
        <v>1</v>
      </c>
      <c r="B2" s="12"/>
      <c r="C2" s="12"/>
      <c r="D2" s="13"/>
      <c r="E2" s="13"/>
      <c r="F2" s="13"/>
      <c r="G2" s="13"/>
      <c r="H2" s="13"/>
      <c r="I2" s="13"/>
    </row>
    <row r="3" s="1" customFormat="1" spans="1:9">
      <c r="A3" s="14" t="s">
        <v>2</v>
      </c>
      <c r="B3" s="15"/>
      <c r="C3" s="15"/>
      <c r="D3" s="15"/>
      <c r="E3" s="15"/>
      <c r="F3" s="15"/>
      <c r="G3" s="15"/>
      <c r="H3" s="15"/>
      <c r="I3" s="15"/>
    </row>
    <row r="4" s="1" customFormat="1" spans="1:9">
      <c r="A4" s="16" t="s">
        <v>3</v>
      </c>
      <c r="B4" s="17" t="s">
        <v>4</v>
      </c>
      <c r="C4" s="18"/>
      <c r="D4" s="18"/>
      <c r="E4" s="18"/>
      <c r="F4" s="19"/>
      <c r="G4" s="20"/>
      <c r="H4" s="20"/>
      <c r="I4" s="20"/>
    </row>
    <row r="5" s="1" customFormat="1" spans="1:9">
      <c r="A5" s="16" t="s">
        <v>5</v>
      </c>
      <c r="B5" s="21" t="s">
        <v>6</v>
      </c>
      <c r="C5" s="22"/>
      <c r="D5" s="22"/>
      <c r="E5" s="22"/>
      <c r="F5" s="23"/>
      <c r="G5" s="20"/>
      <c r="H5" s="20"/>
      <c r="I5" s="20"/>
    </row>
    <row r="6" s="1" customFormat="1" spans="1:9">
      <c r="A6" s="16" t="s">
        <v>7</v>
      </c>
      <c r="B6" s="17" t="s">
        <v>8</v>
      </c>
      <c r="C6" s="18"/>
      <c r="D6" s="18"/>
      <c r="E6" s="18"/>
      <c r="F6" s="19"/>
      <c r="G6" s="20"/>
      <c r="H6" s="20"/>
      <c r="I6" s="20"/>
    </row>
    <row r="7" s="1" customFormat="1" hidden="1" customHeight="1" spans="1:100">
      <c r="A7" s="16" t="s">
        <v>9</v>
      </c>
      <c r="B7" s="74"/>
      <c r="C7" s="24"/>
      <c r="D7" s="24"/>
      <c r="E7" s="24"/>
      <c r="F7" s="25"/>
      <c r="G7" s="20"/>
      <c r="H7" s="20"/>
      <c r="I7" s="20"/>
      <c r="CV7" s="53"/>
    </row>
    <row r="8" s="1" customFormat="1" hidden="1" customHeight="1" spans="1:100">
      <c r="A8" s="16" t="s">
        <v>10</v>
      </c>
      <c r="B8" s="74"/>
      <c r="C8" s="24"/>
      <c r="D8" s="24"/>
      <c r="E8" s="24"/>
      <c r="F8" s="25"/>
      <c r="G8" s="20"/>
      <c r="H8" s="20"/>
      <c r="I8" s="20"/>
      <c r="CV8" s="53"/>
    </row>
    <row r="9" s="1" customFormat="1" spans="1:9">
      <c r="A9" s="16" t="s">
        <v>11</v>
      </c>
      <c r="B9" s="21">
        <v>9585</v>
      </c>
      <c r="C9" s="22"/>
      <c r="D9" s="22"/>
      <c r="E9" s="22"/>
      <c r="F9" s="23"/>
      <c r="G9" s="20"/>
      <c r="H9" s="20"/>
      <c r="I9" s="20"/>
    </row>
    <row r="10" s="1" customFormat="1" spans="1:9">
      <c r="A10" s="26" t="s">
        <v>12</v>
      </c>
      <c r="B10" s="21">
        <f>SUM(G42:G62,G66:G93)</f>
        <v>1114.6</v>
      </c>
      <c r="C10" s="22"/>
      <c r="D10" s="22"/>
      <c r="E10" s="22"/>
      <c r="F10" s="23"/>
      <c r="G10" s="20"/>
      <c r="H10" s="20"/>
      <c r="I10" s="20"/>
    </row>
    <row r="11" s="1" customFormat="1" ht="18" customHeight="1" spans="1:9">
      <c r="A11" s="26" t="s">
        <v>13</v>
      </c>
      <c r="B11" s="21">
        <f>37800/B10</f>
        <v>33.9135115736587</v>
      </c>
      <c r="C11" s="22"/>
      <c r="D11" s="22"/>
      <c r="E11" s="22"/>
      <c r="F11" s="23"/>
      <c r="G11" s="20"/>
      <c r="H11" s="20"/>
      <c r="I11" s="20"/>
    </row>
    <row r="12" s="1" customFormat="1" hidden="1" spans="1:9">
      <c r="A12" s="16" t="s">
        <v>14</v>
      </c>
      <c r="B12" s="21"/>
      <c r="C12" s="22"/>
      <c r="D12" s="22"/>
      <c r="E12" s="22"/>
      <c r="F12" s="23"/>
      <c r="G12" s="20"/>
      <c r="H12" s="20"/>
      <c r="I12" s="20"/>
    </row>
    <row r="13" s="1" customFormat="1" hidden="1" spans="1:9">
      <c r="A13" s="16" t="s">
        <v>15</v>
      </c>
      <c r="B13" s="27"/>
      <c r="C13" s="28"/>
      <c r="D13" s="28"/>
      <c r="E13" s="28"/>
      <c r="F13" s="29"/>
      <c r="G13" s="20"/>
      <c r="H13" s="20"/>
      <c r="I13" s="20"/>
    </row>
    <row r="14" s="1" customFormat="1" hidden="1" spans="1:9">
      <c r="A14" s="26" t="s">
        <v>16</v>
      </c>
      <c r="B14" s="21"/>
      <c r="C14" s="22"/>
      <c r="D14" s="22"/>
      <c r="E14" s="22"/>
      <c r="F14" s="23"/>
      <c r="G14" s="20"/>
      <c r="H14" s="20"/>
      <c r="I14" s="20"/>
    </row>
    <row r="15" s="1" customFormat="1" hidden="1" spans="1:9">
      <c r="A15" s="26" t="s">
        <v>17</v>
      </c>
      <c r="B15" s="21"/>
      <c r="C15" s="22"/>
      <c r="D15" s="22"/>
      <c r="E15" s="22"/>
      <c r="F15" s="23"/>
      <c r="G15" s="20"/>
      <c r="H15" s="20"/>
      <c r="I15" s="20"/>
    </row>
    <row r="16" s="1" customFormat="1" hidden="1" spans="1:9">
      <c r="A16" s="26" t="s">
        <v>18</v>
      </c>
      <c r="B16" s="21"/>
      <c r="C16" s="22"/>
      <c r="D16" s="22"/>
      <c r="E16" s="22"/>
      <c r="F16" s="23"/>
      <c r="G16" s="20"/>
      <c r="H16" s="20"/>
      <c r="I16" s="20"/>
    </row>
    <row r="17" s="1" customFormat="1" hidden="1" spans="1:9">
      <c r="A17" s="26" t="s">
        <v>19</v>
      </c>
      <c r="B17" s="21"/>
      <c r="C17" s="22"/>
      <c r="D17" s="22"/>
      <c r="E17" s="22"/>
      <c r="F17" s="23"/>
      <c r="G17" s="20"/>
      <c r="H17" s="20"/>
      <c r="I17" s="20"/>
    </row>
    <row r="18" s="1" customFormat="1" hidden="1" customHeight="1" spans="1:100">
      <c r="A18" s="16" t="s">
        <v>20</v>
      </c>
      <c r="B18" s="74"/>
      <c r="C18" s="24"/>
      <c r="D18" s="24"/>
      <c r="E18" s="24"/>
      <c r="F18" s="25"/>
      <c r="G18" s="20"/>
      <c r="H18" s="20"/>
      <c r="I18" s="20"/>
      <c r="CV18" s="53"/>
    </row>
    <row r="19" s="1" customFormat="1" spans="1:9">
      <c r="A19" s="16" t="s">
        <v>21</v>
      </c>
      <c r="B19" s="21" t="s">
        <v>22</v>
      </c>
      <c r="C19" s="22"/>
      <c r="D19" s="22"/>
      <c r="E19" s="22"/>
      <c r="F19" s="23"/>
      <c r="G19" s="20"/>
      <c r="H19" s="20"/>
      <c r="I19" s="20"/>
    </row>
    <row r="20" s="2" customFormat="1" spans="1:9">
      <c r="A20" s="30" t="s">
        <v>23</v>
      </c>
      <c r="B20" s="30" t="s">
        <v>24</v>
      </c>
      <c r="C20" s="26"/>
      <c r="D20" s="32" t="s">
        <v>24</v>
      </c>
      <c r="E20" s="32" t="s">
        <v>25</v>
      </c>
      <c r="F20" s="32" t="s">
        <v>26</v>
      </c>
      <c r="G20" s="32" t="s">
        <v>27</v>
      </c>
      <c r="H20" s="32" t="s">
        <v>28</v>
      </c>
      <c r="I20" s="32" t="s">
        <v>29</v>
      </c>
    </row>
    <row r="21" spans="1:9">
      <c r="A21" s="33"/>
      <c r="B21" s="75" t="s">
        <v>30</v>
      </c>
      <c r="C21" s="35"/>
      <c r="D21" s="36" t="s">
        <v>30</v>
      </c>
      <c r="E21" s="36"/>
      <c r="F21" s="36"/>
      <c r="G21" s="36"/>
      <c r="H21" s="36"/>
      <c r="I21" s="36"/>
    </row>
    <row r="22" spans="1:9">
      <c r="A22" s="33">
        <v>301</v>
      </c>
      <c r="B22" s="76" t="s">
        <v>31</v>
      </c>
      <c r="C22" s="38"/>
      <c r="D22" s="39" t="s">
        <v>31</v>
      </c>
      <c r="E22" s="39" t="s">
        <v>32</v>
      </c>
      <c r="F22" s="40">
        <v>4.8</v>
      </c>
      <c r="G22" s="40">
        <v>5.3</v>
      </c>
      <c r="H22" s="41" t="s">
        <v>33</v>
      </c>
      <c r="I22" s="50">
        <v>679</v>
      </c>
    </row>
    <row r="23" spans="1:9">
      <c r="A23" s="33">
        <v>302</v>
      </c>
      <c r="B23" s="76" t="s">
        <v>34</v>
      </c>
      <c r="C23" s="38"/>
      <c r="D23" s="39" t="s">
        <v>34</v>
      </c>
      <c r="E23" s="39" t="s">
        <v>35</v>
      </c>
      <c r="F23" s="40">
        <v>13.1</v>
      </c>
      <c r="G23" s="40">
        <v>14.7</v>
      </c>
      <c r="H23" s="41" t="s">
        <v>36</v>
      </c>
      <c r="I23" s="50">
        <v>245</v>
      </c>
    </row>
    <row r="24" spans="1:9">
      <c r="A24" s="33">
        <v>303</v>
      </c>
      <c r="B24" s="76" t="s">
        <v>37</v>
      </c>
      <c r="C24" s="38"/>
      <c r="D24" s="39" t="s">
        <v>37</v>
      </c>
      <c r="E24" s="39" t="s">
        <v>38</v>
      </c>
      <c r="F24" s="40">
        <v>10.4</v>
      </c>
      <c r="G24" s="40">
        <v>10.4</v>
      </c>
      <c r="H24" s="41" t="s">
        <v>39</v>
      </c>
      <c r="I24" s="50">
        <v>346</v>
      </c>
    </row>
    <row r="25" spans="1:9">
      <c r="A25" s="33">
        <v>5</v>
      </c>
      <c r="B25" s="76" t="s">
        <v>40</v>
      </c>
      <c r="C25" s="38"/>
      <c r="D25" s="39" t="s">
        <v>40</v>
      </c>
      <c r="E25" s="39" t="s">
        <v>41</v>
      </c>
      <c r="F25" s="40">
        <v>13.4</v>
      </c>
      <c r="G25" s="40">
        <v>14.8</v>
      </c>
      <c r="H25" s="41" t="s">
        <v>33</v>
      </c>
      <c r="I25" s="50">
        <v>243</v>
      </c>
    </row>
    <row r="26" spans="1:9">
      <c r="A26" s="33">
        <v>16</v>
      </c>
      <c r="B26" s="76" t="s">
        <v>42</v>
      </c>
      <c r="C26" s="38"/>
      <c r="D26" s="39" t="s">
        <v>42</v>
      </c>
      <c r="E26" s="39" t="s">
        <v>41</v>
      </c>
      <c r="F26" s="40">
        <v>16.7</v>
      </c>
      <c r="G26" s="40">
        <v>18.5</v>
      </c>
      <c r="H26" s="41" t="s">
        <v>33</v>
      </c>
      <c r="I26" s="50">
        <v>195</v>
      </c>
    </row>
    <row r="27" spans="1:9">
      <c r="A27" s="33">
        <v>170</v>
      </c>
      <c r="B27" s="76" t="s">
        <v>43</v>
      </c>
      <c r="C27" s="38"/>
      <c r="D27" s="39" t="s">
        <v>43</v>
      </c>
      <c r="E27" s="39" t="s">
        <v>41</v>
      </c>
      <c r="F27" s="40">
        <v>13</v>
      </c>
      <c r="G27" s="40">
        <v>14.3</v>
      </c>
      <c r="H27" s="41" t="s">
        <v>36</v>
      </c>
      <c r="I27" s="50">
        <v>252</v>
      </c>
    </row>
    <row r="28" spans="1:9">
      <c r="A28" s="33"/>
      <c r="B28" s="76" t="s">
        <v>44</v>
      </c>
      <c r="C28" s="38"/>
      <c r="D28" s="39" t="s">
        <v>44</v>
      </c>
      <c r="E28" s="39" t="s">
        <v>41</v>
      </c>
      <c r="F28" s="40">
        <v>0</v>
      </c>
      <c r="G28" s="40">
        <v>0</v>
      </c>
      <c r="H28" s="41" t="s">
        <v>36</v>
      </c>
      <c r="I28" s="50">
        <v>0</v>
      </c>
    </row>
    <row r="29" spans="1:9">
      <c r="A29" s="33">
        <v>54</v>
      </c>
      <c r="B29" s="76" t="s">
        <v>45</v>
      </c>
      <c r="C29" s="38"/>
      <c r="D29" s="39" t="s">
        <v>46</v>
      </c>
      <c r="E29" s="39" t="s">
        <v>47</v>
      </c>
      <c r="F29" s="40">
        <v>11.1</v>
      </c>
      <c r="G29" s="40">
        <v>12.5</v>
      </c>
      <c r="H29" s="41" t="s">
        <v>33</v>
      </c>
      <c r="I29" s="50">
        <v>288</v>
      </c>
    </row>
    <row r="30" spans="1:9">
      <c r="A30" s="33">
        <v>15</v>
      </c>
      <c r="B30" s="76" t="s">
        <v>48</v>
      </c>
      <c r="C30" s="38"/>
      <c r="D30" s="39" t="s">
        <v>48</v>
      </c>
      <c r="E30" s="39" t="s">
        <v>49</v>
      </c>
      <c r="F30" s="40">
        <v>14.4</v>
      </c>
      <c r="G30" s="40">
        <v>16.2</v>
      </c>
      <c r="H30" s="41" t="s">
        <v>33</v>
      </c>
      <c r="I30" s="50">
        <v>222</v>
      </c>
    </row>
    <row r="31" spans="1:9">
      <c r="A31" s="33">
        <v>304</v>
      </c>
      <c r="B31" s="76" t="s">
        <v>50</v>
      </c>
      <c r="C31" s="38"/>
      <c r="D31" s="39" t="s">
        <v>50</v>
      </c>
      <c r="E31" s="39" t="s">
        <v>32</v>
      </c>
      <c r="F31" s="40">
        <v>1.3</v>
      </c>
      <c r="G31" s="40">
        <v>1.5</v>
      </c>
      <c r="H31" s="41" t="s">
        <v>33</v>
      </c>
      <c r="I31" s="50">
        <v>2400</v>
      </c>
    </row>
    <row r="32" spans="1:9">
      <c r="A32" s="33">
        <v>305</v>
      </c>
      <c r="B32" s="76" t="s">
        <v>51</v>
      </c>
      <c r="C32" s="38"/>
      <c r="D32" s="39" t="s">
        <v>51</v>
      </c>
      <c r="E32" s="39" t="s">
        <v>35</v>
      </c>
      <c r="F32" s="40">
        <v>0.4</v>
      </c>
      <c r="G32" s="40">
        <v>0.4</v>
      </c>
      <c r="H32" s="41" t="s">
        <v>36</v>
      </c>
      <c r="I32" s="50">
        <v>9000</v>
      </c>
    </row>
    <row r="33" spans="1:9">
      <c r="A33" s="33">
        <v>306</v>
      </c>
      <c r="B33" s="76" t="s">
        <v>52</v>
      </c>
      <c r="C33" s="38"/>
      <c r="D33" s="39" t="s">
        <v>52</v>
      </c>
      <c r="E33" s="39" t="s">
        <v>38</v>
      </c>
      <c r="F33" s="40">
        <v>1.7</v>
      </c>
      <c r="G33" s="40">
        <v>1.7</v>
      </c>
      <c r="H33" s="41" t="s">
        <v>39</v>
      </c>
      <c r="I33" s="50">
        <v>2118</v>
      </c>
    </row>
    <row r="34" spans="1:9">
      <c r="A34" s="33">
        <v>3</v>
      </c>
      <c r="B34" s="76" t="s">
        <v>53</v>
      </c>
      <c r="C34" s="38"/>
      <c r="D34" s="39" t="s">
        <v>54</v>
      </c>
      <c r="E34" s="39" t="s">
        <v>41</v>
      </c>
      <c r="F34" s="40">
        <v>0.8</v>
      </c>
      <c r="G34" s="40">
        <v>0.9</v>
      </c>
      <c r="H34" s="41" t="s">
        <v>33</v>
      </c>
      <c r="I34" s="50">
        <v>4000</v>
      </c>
    </row>
    <row r="35" spans="1:9">
      <c r="A35" s="33">
        <v>17</v>
      </c>
      <c r="B35" s="76" t="s">
        <v>55</v>
      </c>
      <c r="C35" s="38"/>
      <c r="D35" s="39" t="s">
        <v>56</v>
      </c>
      <c r="E35" s="39" t="s">
        <v>57</v>
      </c>
      <c r="F35" s="40">
        <v>11.1</v>
      </c>
      <c r="G35" s="40">
        <v>12.5</v>
      </c>
      <c r="H35" s="41" t="s">
        <v>33</v>
      </c>
      <c r="I35" s="50">
        <v>288</v>
      </c>
    </row>
    <row r="36" spans="1:9">
      <c r="A36" s="33">
        <v>18</v>
      </c>
      <c r="B36" s="76" t="s">
        <v>58</v>
      </c>
      <c r="C36" s="38"/>
      <c r="D36" s="39" t="s">
        <v>59</v>
      </c>
      <c r="E36" s="39" t="s">
        <v>60</v>
      </c>
      <c r="F36" s="40">
        <v>14.9</v>
      </c>
      <c r="G36" s="40">
        <v>16.5</v>
      </c>
      <c r="H36" s="41" t="s">
        <v>61</v>
      </c>
      <c r="I36" s="50">
        <v>218</v>
      </c>
    </row>
    <row r="37" s="1" customFormat="1" ht="10" customHeight="1" spans="1:9">
      <c r="A37" s="42">
        <v>8</v>
      </c>
      <c r="B37" s="77" t="s">
        <v>62</v>
      </c>
      <c r="C37" s="44"/>
      <c r="D37" s="38" t="s">
        <v>63</v>
      </c>
      <c r="E37" s="38" t="s">
        <v>35</v>
      </c>
      <c r="F37" s="45">
        <v>0.2</v>
      </c>
      <c r="G37" s="45">
        <v>0.2</v>
      </c>
      <c r="H37" s="14" t="s">
        <v>33</v>
      </c>
      <c r="I37" s="51">
        <v>18000</v>
      </c>
    </row>
    <row r="38" s="1" customFormat="1" ht="10" customHeight="1" spans="1:9">
      <c r="A38" s="42">
        <v>4</v>
      </c>
      <c r="B38" s="77" t="s">
        <v>64</v>
      </c>
      <c r="C38" s="44"/>
      <c r="D38" s="38" t="s">
        <v>65</v>
      </c>
      <c r="E38" s="38" t="s">
        <v>66</v>
      </c>
      <c r="F38" s="45">
        <v>0.7</v>
      </c>
      <c r="G38" s="45">
        <v>0.8</v>
      </c>
      <c r="H38" s="14" t="s">
        <v>39</v>
      </c>
      <c r="I38" s="51">
        <v>4500</v>
      </c>
    </row>
    <row r="39" s="1" customFormat="1" ht="10" customHeight="1" spans="1:9">
      <c r="A39" s="42">
        <v>7</v>
      </c>
      <c r="B39" s="77" t="s">
        <v>67</v>
      </c>
      <c r="C39" s="44"/>
      <c r="D39" s="38" t="s">
        <v>68</v>
      </c>
      <c r="E39" s="38" t="s">
        <v>41</v>
      </c>
      <c r="F39" s="45">
        <v>0.3</v>
      </c>
      <c r="G39" s="45">
        <v>0.3</v>
      </c>
      <c r="H39" s="14" t="s">
        <v>36</v>
      </c>
      <c r="I39" s="51">
        <v>12000</v>
      </c>
    </row>
    <row r="40" spans="1:9">
      <c r="A40" s="33">
        <v>11</v>
      </c>
      <c r="B40" s="76" t="s">
        <v>69</v>
      </c>
      <c r="C40" s="38"/>
      <c r="D40" s="39"/>
      <c r="E40" s="39"/>
      <c r="F40" s="40"/>
      <c r="G40" s="40"/>
      <c r="H40" s="41"/>
      <c r="I40" s="50"/>
    </row>
    <row r="41" spans="1:9">
      <c r="A41" s="33"/>
      <c r="B41" s="75" t="s">
        <v>70</v>
      </c>
      <c r="C41" s="35"/>
      <c r="D41" s="39" t="s">
        <v>70</v>
      </c>
      <c r="E41" s="39"/>
      <c r="F41" s="40"/>
      <c r="G41" s="40"/>
      <c r="H41" s="41"/>
      <c r="I41" s="50"/>
    </row>
    <row r="42" spans="1:9">
      <c r="A42" s="33">
        <v>43</v>
      </c>
      <c r="B42" s="76" t="s">
        <v>71</v>
      </c>
      <c r="C42" s="38"/>
      <c r="D42" s="36" t="s">
        <v>72</v>
      </c>
      <c r="E42" s="36" t="s">
        <v>73</v>
      </c>
      <c r="F42" s="36">
        <v>0.9</v>
      </c>
      <c r="G42" s="36">
        <v>1</v>
      </c>
      <c r="H42" s="36" t="s">
        <v>61</v>
      </c>
      <c r="I42" s="36">
        <v>3600</v>
      </c>
    </row>
    <row r="43" spans="1:9">
      <c r="A43" s="33">
        <v>44</v>
      </c>
      <c r="B43" s="76" t="s">
        <v>74</v>
      </c>
      <c r="C43" s="38"/>
      <c r="D43" s="39" t="s">
        <v>75</v>
      </c>
      <c r="E43" s="39" t="s">
        <v>41</v>
      </c>
      <c r="F43" s="40">
        <v>1.8</v>
      </c>
      <c r="G43" s="40">
        <v>2</v>
      </c>
      <c r="H43" s="41" t="s">
        <v>33</v>
      </c>
      <c r="I43" s="50">
        <v>1800</v>
      </c>
    </row>
    <row r="44" ht="24" spans="1:9">
      <c r="A44" s="33">
        <v>23</v>
      </c>
      <c r="B44" s="76" t="s">
        <v>76</v>
      </c>
      <c r="C44" s="38"/>
      <c r="D44" s="39" t="s">
        <v>77</v>
      </c>
      <c r="E44" s="39" t="s">
        <v>78</v>
      </c>
      <c r="F44" s="40">
        <v>32.4</v>
      </c>
      <c r="G44" s="40">
        <v>38.5</v>
      </c>
      <c r="H44" s="41" t="s">
        <v>79</v>
      </c>
      <c r="I44" s="50">
        <v>94</v>
      </c>
    </row>
    <row r="45" spans="1:9">
      <c r="A45" s="33">
        <v>24</v>
      </c>
      <c r="B45" s="76" t="s">
        <v>80</v>
      </c>
      <c r="C45" s="38"/>
      <c r="D45" s="39" t="s">
        <v>80</v>
      </c>
      <c r="E45" s="39" t="s">
        <v>41</v>
      </c>
      <c r="F45" s="40">
        <v>16.4</v>
      </c>
      <c r="G45" s="40">
        <v>18.2</v>
      </c>
      <c r="H45" s="41" t="s">
        <v>81</v>
      </c>
      <c r="I45" s="50">
        <v>198</v>
      </c>
    </row>
    <row r="46" spans="1:9">
      <c r="A46" s="33">
        <v>25</v>
      </c>
      <c r="B46" s="76" t="s">
        <v>82</v>
      </c>
      <c r="C46" s="38"/>
      <c r="D46" s="39" t="s">
        <v>82</v>
      </c>
      <c r="E46" s="39" t="s">
        <v>83</v>
      </c>
      <c r="F46" s="40">
        <v>27.1</v>
      </c>
      <c r="G46" s="40">
        <v>30.9</v>
      </c>
      <c r="H46" s="41" t="s">
        <v>84</v>
      </c>
      <c r="I46" s="50">
        <v>117</v>
      </c>
    </row>
    <row r="47" customHeight="1" spans="1:9">
      <c r="A47" s="33">
        <v>26</v>
      </c>
      <c r="B47" s="76" t="s">
        <v>85</v>
      </c>
      <c r="C47" s="38"/>
      <c r="D47" s="39" t="s">
        <v>85</v>
      </c>
      <c r="E47" s="39" t="s">
        <v>86</v>
      </c>
      <c r="F47" s="40">
        <v>17</v>
      </c>
      <c r="G47" s="40">
        <v>19.1</v>
      </c>
      <c r="H47" s="41" t="s">
        <v>79</v>
      </c>
      <c r="I47" s="50">
        <v>188</v>
      </c>
    </row>
    <row r="48" customHeight="1" spans="1:9">
      <c r="A48" s="33">
        <v>28</v>
      </c>
      <c r="B48" s="76" t="s">
        <v>87</v>
      </c>
      <c r="C48" s="38"/>
      <c r="D48" s="39" t="s">
        <v>88</v>
      </c>
      <c r="E48" s="39" t="s">
        <v>89</v>
      </c>
      <c r="F48" s="40">
        <v>37.5</v>
      </c>
      <c r="G48" s="40">
        <v>41.5</v>
      </c>
      <c r="H48" s="41" t="s">
        <v>39</v>
      </c>
      <c r="I48" s="50">
        <v>87</v>
      </c>
    </row>
    <row r="49" customHeight="1" spans="1:9">
      <c r="A49" s="33">
        <v>29</v>
      </c>
      <c r="B49" s="76" t="s">
        <v>90</v>
      </c>
      <c r="C49" s="38"/>
      <c r="D49" s="39" t="s">
        <v>91</v>
      </c>
      <c r="E49" s="39" t="s">
        <v>83</v>
      </c>
      <c r="F49" s="40">
        <v>23.1</v>
      </c>
      <c r="G49" s="40">
        <v>26.1</v>
      </c>
      <c r="H49" s="41" t="s">
        <v>79</v>
      </c>
      <c r="I49" s="50">
        <v>138</v>
      </c>
    </row>
    <row r="50" customHeight="1" spans="1:9">
      <c r="A50" s="33">
        <v>30</v>
      </c>
      <c r="B50" s="76" t="s">
        <v>92</v>
      </c>
      <c r="C50" s="38"/>
      <c r="D50" s="39" t="s">
        <v>92</v>
      </c>
      <c r="E50" s="39" t="s">
        <v>57</v>
      </c>
      <c r="F50" s="40">
        <v>12.4</v>
      </c>
      <c r="G50" s="40">
        <v>14</v>
      </c>
      <c r="H50" s="41" t="s">
        <v>93</v>
      </c>
      <c r="I50" s="50">
        <v>257</v>
      </c>
    </row>
    <row r="51" customHeight="1" spans="1:9">
      <c r="A51" s="33">
        <v>31</v>
      </c>
      <c r="B51" s="76" t="s">
        <v>94</v>
      </c>
      <c r="C51" s="38"/>
      <c r="D51" s="39" t="s">
        <v>94</v>
      </c>
      <c r="E51" s="39" t="s">
        <v>95</v>
      </c>
      <c r="F51" s="40">
        <v>13.4</v>
      </c>
      <c r="G51" s="40">
        <v>15.1</v>
      </c>
      <c r="H51" s="41" t="s">
        <v>79</v>
      </c>
      <c r="I51" s="50">
        <v>238</v>
      </c>
    </row>
    <row r="52" customHeight="1" spans="1:9">
      <c r="A52" s="33">
        <v>32</v>
      </c>
      <c r="B52" s="76" t="s">
        <v>96</v>
      </c>
      <c r="C52" s="38"/>
      <c r="D52" s="39" t="s">
        <v>97</v>
      </c>
      <c r="E52" s="39" t="s">
        <v>83</v>
      </c>
      <c r="F52" s="40">
        <v>21.1</v>
      </c>
      <c r="G52" s="40">
        <v>23.6</v>
      </c>
      <c r="H52" s="41" t="s">
        <v>84</v>
      </c>
      <c r="I52" s="50">
        <v>153</v>
      </c>
    </row>
    <row r="53" customHeight="1" spans="1:9">
      <c r="A53" s="33">
        <v>33</v>
      </c>
      <c r="B53" s="76" t="s">
        <v>98</v>
      </c>
      <c r="C53" s="38"/>
      <c r="D53" s="39" t="s">
        <v>98</v>
      </c>
      <c r="E53" s="39" t="s">
        <v>57</v>
      </c>
      <c r="F53" s="40">
        <v>26.5</v>
      </c>
      <c r="G53" s="40">
        <v>29.8</v>
      </c>
      <c r="H53" s="41" t="s">
        <v>99</v>
      </c>
      <c r="I53" s="50">
        <v>121</v>
      </c>
    </row>
    <row r="54" customHeight="1" spans="1:9">
      <c r="A54" s="33">
        <v>34</v>
      </c>
      <c r="B54" s="76" t="s">
        <v>100</v>
      </c>
      <c r="C54" s="38"/>
      <c r="D54" s="39" t="s">
        <v>101</v>
      </c>
      <c r="E54" s="39" t="s">
        <v>89</v>
      </c>
      <c r="F54" s="40">
        <v>37.5</v>
      </c>
      <c r="G54" s="40">
        <v>41.5</v>
      </c>
      <c r="H54" s="41" t="s">
        <v>39</v>
      </c>
      <c r="I54" s="50">
        <v>87</v>
      </c>
    </row>
    <row r="55" customHeight="1" spans="1:9">
      <c r="A55" s="33"/>
      <c r="B55" s="75" t="s">
        <v>102</v>
      </c>
      <c r="C55" s="35"/>
      <c r="D55" s="39" t="s">
        <v>102</v>
      </c>
      <c r="E55" s="39"/>
      <c r="F55" s="40"/>
      <c r="G55" s="40"/>
      <c r="H55" s="41"/>
      <c r="I55" s="50"/>
    </row>
    <row r="56" customHeight="1" spans="1:9">
      <c r="A56" s="33">
        <v>36</v>
      </c>
      <c r="B56" s="76" t="s">
        <v>103</v>
      </c>
      <c r="C56" s="38"/>
      <c r="D56" s="36" t="s">
        <v>104</v>
      </c>
      <c r="E56" s="36" t="s">
        <v>83</v>
      </c>
      <c r="F56" s="36">
        <v>20.8</v>
      </c>
      <c r="G56" s="36">
        <v>23.4</v>
      </c>
      <c r="H56" s="36" t="s">
        <v>84</v>
      </c>
      <c r="I56" s="36">
        <v>154</v>
      </c>
    </row>
    <row r="57" customHeight="1" spans="1:9">
      <c r="A57" s="33">
        <v>37</v>
      </c>
      <c r="B57" s="76" t="s">
        <v>105</v>
      </c>
      <c r="C57" s="38"/>
      <c r="D57" s="39" t="s">
        <v>105</v>
      </c>
      <c r="E57" s="39" t="s">
        <v>41</v>
      </c>
      <c r="F57" s="40">
        <v>16.2</v>
      </c>
      <c r="G57" s="40">
        <v>17.9</v>
      </c>
      <c r="H57" s="41" t="s">
        <v>81</v>
      </c>
      <c r="I57" s="50">
        <v>201</v>
      </c>
    </row>
    <row r="58" customHeight="1" spans="1:9">
      <c r="A58" s="33">
        <v>38</v>
      </c>
      <c r="B58" s="76" t="s">
        <v>106</v>
      </c>
      <c r="C58" s="38"/>
      <c r="D58" s="39" t="s">
        <v>107</v>
      </c>
      <c r="E58" s="39" t="s">
        <v>83</v>
      </c>
      <c r="F58" s="40">
        <v>18.5</v>
      </c>
      <c r="G58" s="40">
        <v>20.6</v>
      </c>
      <c r="H58" s="41" t="s">
        <v>84</v>
      </c>
      <c r="I58" s="50">
        <v>175</v>
      </c>
    </row>
    <row r="59" spans="1:9">
      <c r="A59" s="33">
        <v>39</v>
      </c>
      <c r="B59" s="76" t="s">
        <v>108</v>
      </c>
      <c r="C59" s="38"/>
      <c r="D59" s="39" t="s">
        <v>108</v>
      </c>
      <c r="E59" s="39" t="s">
        <v>83</v>
      </c>
      <c r="F59" s="40">
        <v>23.5</v>
      </c>
      <c r="G59" s="40">
        <v>26.3</v>
      </c>
      <c r="H59" s="41" t="s">
        <v>84</v>
      </c>
      <c r="I59" s="50">
        <v>137</v>
      </c>
    </row>
    <row r="60" s="3" customFormat="1" spans="1:9">
      <c r="A60" s="46">
        <v>67</v>
      </c>
      <c r="B60" s="48" t="s">
        <v>109</v>
      </c>
      <c r="C60" s="38"/>
      <c r="D60" s="48" t="s">
        <v>110</v>
      </c>
      <c r="E60" s="48" t="s">
        <v>83</v>
      </c>
      <c r="F60" s="49">
        <v>18.1</v>
      </c>
      <c r="G60" s="49">
        <v>20.1</v>
      </c>
      <c r="H60" s="46" t="s">
        <v>111</v>
      </c>
      <c r="I60" s="52">
        <v>179</v>
      </c>
    </row>
    <row r="61" customHeight="1" spans="1:9">
      <c r="A61" s="33">
        <v>41</v>
      </c>
      <c r="B61" s="76" t="s">
        <v>112</v>
      </c>
      <c r="C61" s="38"/>
      <c r="D61" s="39" t="s">
        <v>113</v>
      </c>
      <c r="E61" s="39" t="s">
        <v>83</v>
      </c>
      <c r="F61" s="40">
        <v>13.5</v>
      </c>
      <c r="G61" s="40">
        <v>15.1</v>
      </c>
      <c r="H61" s="41" t="s">
        <v>79</v>
      </c>
      <c r="I61" s="50">
        <v>238</v>
      </c>
    </row>
    <row r="62" customHeight="1" spans="1:9">
      <c r="A62" s="33">
        <v>42</v>
      </c>
      <c r="B62" s="76" t="s">
        <v>114</v>
      </c>
      <c r="C62" s="38"/>
      <c r="D62" s="39" t="s">
        <v>115</v>
      </c>
      <c r="E62" s="39" t="s">
        <v>95</v>
      </c>
      <c r="F62" s="40">
        <v>22.4</v>
      </c>
      <c r="G62" s="40">
        <v>25.3</v>
      </c>
      <c r="H62" s="41" t="s">
        <v>84</v>
      </c>
      <c r="I62" s="50">
        <v>142</v>
      </c>
    </row>
    <row r="63" customHeight="1" spans="1:9">
      <c r="A63" s="33"/>
      <c r="B63" s="75" t="s">
        <v>116</v>
      </c>
      <c r="C63" s="35"/>
      <c r="D63" s="36" t="s">
        <v>116</v>
      </c>
      <c r="E63" s="36"/>
      <c r="F63" s="36"/>
      <c r="G63" s="36"/>
      <c r="H63" s="36"/>
      <c r="I63" s="36"/>
    </row>
    <row r="64" customHeight="1" spans="1:9">
      <c r="A64" s="33">
        <v>27</v>
      </c>
      <c r="B64" s="76" t="s">
        <v>117</v>
      </c>
      <c r="C64" s="38"/>
      <c r="D64" s="39" t="s">
        <v>117</v>
      </c>
      <c r="E64" s="39" t="s">
        <v>41</v>
      </c>
      <c r="F64" s="40">
        <v>36</v>
      </c>
      <c r="G64" s="40">
        <v>39.8</v>
      </c>
      <c r="H64" s="41" t="s">
        <v>118</v>
      </c>
      <c r="I64" s="50">
        <v>90</v>
      </c>
    </row>
    <row r="65" customHeight="1" spans="1:9">
      <c r="A65" s="33"/>
      <c r="B65" s="76" t="s">
        <v>119</v>
      </c>
      <c r="C65" s="38"/>
      <c r="D65" s="39" t="s">
        <v>119</v>
      </c>
      <c r="E65" s="39" t="s">
        <v>120</v>
      </c>
      <c r="F65" s="40">
        <v>1.3</v>
      </c>
      <c r="G65" s="40">
        <v>1.3</v>
      </c>
      <c r="H65" s="41" t="s">
        <v>81</v>
      </c>
      <c r="I65" s="50">
        <v>2769</v>
      </c>
    </row>
    <row r="66" customHeight="1" spans="1:9">
      <c r="A66" s="33">
        <v>21</v>
      </c>
      <c r="B66" s="76" t="s">
        <v>121</v>
      </c>
      <c r="C66" s="38"/>
      <c r="D66" s="39" t="s">
        <v>121</v>
      </c>
      <c r="E66" s="39" t="s">
        <v>41</v>
      </c>
      <c r="F66" s="40">
        <v>2.9</v>
      </c>
      <c r="G66" s="40">
        <v>3.2</v>
      </c>
      <c r="H66" s="41" t="s">
        <v>81</v>
      </c>
      <c r="I66" s="50">
        <v>1125</v>
      </c>
    </row>
    <row r="67" customHeight="1" spans="1:9">
      <c r="A67" s="33">
        <v>22</v>
      </c>
      <c r="B67" s="76" t="s">
        <v>122</v>
      </c>
      <c r="C67" s="38"/>
      <c r="D67" s="39" t="s">
        <v>122</v>
      </c>
      <c r="E67" s="39" t="s">
        <v>83</v>
      </c>
      <c r="F67" s="40">
        <v>7.6</v>
      </c>
      <c r="G67" s="40">
        <v>8.4</v>
      </c>
      <c r="H67" s="41" t="s">
        <v>93</v>
      </c>
      <c r="I67" s="50">
        <v>429</v>
      </c>
    </row>
    <row r="68" customHeight="1" spans="1:9">
      <c r="A68" s="33">
        <v>45</v>
      </c>
      <c r="B68" s="76" t="s">
        <v>123</v>
      </c>
      <c r="C68" s="38"/>
      <c r="D68" s="39" t="s">
        <v>124</v>
      </c>
      <c r="E68" s="39" t="s">
        <v>41</v>
      </c>
      <c r="F68" s="40">
        <v>8.1</v>
      </c>
      <c r="G68" s="40">
        <v>8.9</v>
      </c>
      <c r="H68" s="41" t="s">
        <v>81</v>
      </c>
      <c r="I68" s="50">
        <v>404</v>
      </c>
    </row>
    <row r="69" customHeight="1" spans="1:9">
      <c r="A69" s="33"/>
      <c r="B69" s="76" t="s">
        <v>125</v>
      </c>
      <c r="C69" s="38"/>
      <c r="D69" s="39" t="s">
        <v>125</v>
      </c>
      <c r="E69" s="39" t="s">
        <v>120</v>
      </c>
      <c r="F69" s="40">
        <v>1.3</v>
      </c>
      <c r="G69" s="40">
        <v>1.3</v>
      </c>
      <c r="H69" s="41" t="s">
        <v>81</v>
      </c>
      <c r="I69" s="50">
        <v>2769</v>
      </c>
    </row>
    <row r="70" customHeight="1" spans="1:9">
      <c r="A70" s="33">
        <v>46</v>
      </c>
      <c r="B70" s="76" t="s">
        <v>126</v>
      </c>
      <c r="C70" s="38"/>
      <c r="D70" s="39" t="s">
        <v>126</v>
      </c>
      <c r="E70" s="39" t="s">
        <v>41</v>
      </c>
      <c r="F70" s="40">
        <v>2.9</v>
      </c>
      <c r="G70" s="40">
        <v>3.2</v>
      </c>
      <c r="H70" s="41" t="s">
        <v>81</v>
      </c>
      <c r="I70" s="50">
        <v>1125</v>
      </c>
    </row>
    <row r="71" customHeight="1" spans="1:9">
      <c r="A71" s="33">
        <v>47</v>
      </c>
      <c r="B71" s="76" t="s">
        <v>127</v>
      </c>
      <c r="C71" s="38"/>
      <c r="D71" s="39" t="s">
        <v>127</v>
      </c>
      <c r="E71" s="39" t="s">
        <v>83</v>
      </c>
      <c r="F71" s="40">
        <v>10.8</v>
      </c>
      <c r="G71" s="40">
        <v>12</v>
      </c>
      <c r="H71" s="41" t="s">
        <v>93</v>
      </c>
      <c r="I71" s="50">
        <v>300</v>
      </c>
    </row>
    <row r="72" customHeight="1" spans="1:9">
      <c r="A72" s="33">
        <v>48</v>
      </c>
      <c r="B72" s="76" t="s">
        <v>128</v>
      </c>
      <c r="C72" s="38"/>
      <c r="D72" s="39" t="s">
        <v>129</v>
      </c>
      <c r="E72" s="39" t="s">
        <v>95</v>
      </c>
      <c r="F72" s="40">
        <v>39.9</v>
      </c>
      <c r="G72" s="40">
        <v>44.9</v>
      </c>
      <c r="H72" s="41" t="s">
        <v>84</v>
      </c>
      <c r="I72" s="50">
        <v>80</v>
      </c>
    </row>
    <row r="73" s="3" customFormat="1" ht="16" customHeight="1" spans="1:9">
      <c r="A73" s="33">
        <v>49</v>
      </c>
      <c r="B73" s="76" t="s">
        <v>130</v>
      </c>
      <c r="C73" s="38"/>
      <c r="D73" s="39" t="s">
        <v>131</v>
      </c>
      <c r="E73" s="39" t="s">
        <v>132</v>
      </c>
      <c r="F73" s="40">
        <v>38.3</v>
      </c>
      <c r="G73" s="40">
        <v>43.5</v>
      </c>
      <c r="H73" s="41" t="s">
        <v>84</v>
      </c>
      <c r="I73" s="50">
        <v>83</v>
      </c>
    </row>
    <row r="74" s="3" customFormat="1" ht="16" customHeight="1" spans="1:9">
      <c r="A74" s="46">
        <v>68</v>
      </c>
      <c r="B74" s="48" t="s">
        <v>133</v>
      </c>
      <c r="C74" s="38"/>
      <c r="D74" s="48" t="s">
        <v>134</v>
      </c>
      <c r="E74" s="48" t="s">
        <v>41</v>
      </c>
      <c r="F74" s="49">
        <v>9.4</v>
      </c>
      <c r="G74" s="49">
        <v>10.3</v>
      </c>
      <c r="H74" s="46" t="s">
        <v>81</v>
      </c>
      <c r="I74" s="52">
        <v>350</v>
      </c>
    </row>
    <row r="75" customHeight="1" spans="1:9">
      <c r="A75" s="33">
        <v>50</v>
      </c>
      <c r="B75" s="76" t="s">
        <v>135</v>
      </c>
      <c r="C75" s="38"/>
      <c r="D75" s="39" t="s">
        <v>136</v>
      </c>
      <c r="E75" s="39" t="s">
        <v>83</v>
      </c>
      <c r="F75" s="40">
        <v>64.9</v>
      </c>
      <c r="G75" s="40">
        <v>73.3</v>
      </c>
      <c r="H75" s="41" t="s">
        <v>137</v>
      </c>
      <c r="I75" s="50">
        <v>49</v>
      </c>
    </row>
    <row r="76" customHeight="1" spans="1:9">
      <c r="A76" s="33">
        <v>51</v>
      </c>
      <c r="B76" s="76" t="s">
        <v>138</v>
      </c>
      <c r="C76" s="38"/>
      <c r="D76" s="39" t="s">
        <v>139</v>
      </c>
      <c r="E76" s="39" t="s">
        <v>78</v>
      </c>
      <c r="F76" s="40">
        <v>80.3</v>
      </c>
      <c r="G76" s="40">
        <v>91.9</v>
      </c>
      <c r="H76" s="41" t="s">
        <v>79</v>
      </c>
      <c r="I76" s="50">
        <v>39</v>
      </c>
    </row>
    <row r="77" customHeight="1" spans="1:10">
      <c r="A77" s="54">
        <v>70</v>
      </c>
      <c r="B77" s="56" t="s">
        <v>140</v>
      </c>
      <c r="C77" s="56"/>
      <c r="D77" s="56" t="s">
        <v>140</v>
      </c>
      <c r="E77" s="56" t="s">
        <v>41</v>
      </c>
      <c r="F77" s="57"/>
      <c r="G77" s="57"/>
      <c r="H77" s="54"/>
      <c r="I77" s="72"/>
      <c r="J77" s="73" t="s">
        <v>141</v>
      </c>
    </row>
    <row r="78" customHeight="1" spans="1:10">
      <c r="A78" s="54">
        <v>71</v>
      </c>
      <c r="B78" s="56" t="s">
        <v>142</v>
      </c>
      <c r="C78" s="56"/>
      <c r="D78" s="56" t="s">
        <v>142</v>
      </c>
      <c r="E78" s="56" t="s">
        <v>83</v>
      </c>
      <c r="F78" s="57"/>
      <c r="G78" s="57"/>
      <c r="H78" s="54"/>
      <c r="I78" s="72"/>
      <c r="J78" s="73"/>
    </row>
    <row r="79" customHeight="1" spans="1:10">
      <c r="A79" s="54">
        <v>72</v>
      </c>
      <c r="B79" s="56" t="s">
        <v>143</v>
      </c>
      <c r="C79" s="56"/>
      <c r="D79" s="56" t="s">
        <v>143</v>
      </c>
      <c r="E79" s="56" t="s">
        <v>83</v>
      </c>
      <c r="F79" s="57"/>
      <c r="G79" s="57"/>
      <c r="H79" s="54"/>
      <c r="I79" s="72"/>
      <c r="J79" s="73"/>
    </row>
    <row r="80" customHeight="1" spans="1:9">
      <c r="A80" s="33">
        <v>52</v>
      </c>
      <c r="B80" s="76" t="s">
        <v>82</v>
      </c>
      <c r="C80" s="38"/>
      <c r="D80" s="39" t="s">
        <v>82</v>
      </c>
      <c r="E80" s="39" t="s">
        <v>83</v>
      </c>
      <c r="F80" s="40">
        <v>23.9</v>
      </c>
      <c r="G80" s="40">
        <v>26.9</v>
      </c>
      <c r="H80" s="41" t="s">
        <v>144</v>
      </c>
      <c r="I80" s="50">
        <v>134</v>
      </c>
    </row>
    <row r="81" customHeight="1" spans="1:9">
      <c r="A81" s="33">
        <v>53</v>
      </c>
      <c r="B81" s="76" t="s">
        <v>145</v>
      </c>
      <c r="C81" s="38"/>
      <c r="D81" s="39" t="s">
        <v>145</v>
      </c>
      <c r="E81" s="39" t="s">
        <v>95</v>
      </c>
      <c r="F81" s="40">
        <v>13.9</v>
      </c>
      <c r="G81" s="40">
        <v>15.5</v>
      </c>
      <c r="H81" s="41" t="s">
        <v>84</v>
      </c>
      <c r="I81" s="50">
        <v>232</v>
      </c>
    </row>
    <row r="82" customHeight="1" spans="1:9">
      <c r="A82" s="33">
        <v>55</v>
      </c>
      <c r="B82" s="76" t="s">
        <v>146</v>
      </c>
      <c r="C82" s="38"/>
      <c r="D82" s="39" t="s">
        <v>146</v>
      </c>
      <c r="E82" s="39" t="s">
        <v>132</v>
      </c>
      <c r="F82" s="40">
        <v>10.9</v>
      </c>
      <c r="G82" s="40">
        <v>12.3</v>
      </c>
      <c r="H82" s="41" t="s">
        <v>84</v>
      </c>
      <c r="I82" s="50">
        <v>293</v>
      </c>
    </row>
    <row r="83" customHeight="1" spans="1:9">
      <c r="A83" s="33">
        <v>56</v>
      </c>
      <c r="B83" s="76" t="s">
        <v>147</v>
      </c>
      <c r="C83" s="38"/>
      <c r="D83" s="39" t="s">
        <v>148</v>
      </c>
      <c r="E83" s="39" t="s">
        <v>95</v>
      </c>
      <c r="F83" s="40">
        <v>15.6</v>
      </c>
      <c r="G83" s="40">
        <v>17.3</v>
      </c>
      <c r="H83" s="41" t="s">
        <v>84</v>
      </c>
      <c r="I83" s="50">
        <v>208</v>
      </c>
    </row>
    <row r="84" customHeight="1" spans="1:9">
      <c r="A84" s="33">
        <v>57</v>
      </c>
      <c r="B84" s="76" t="s">
        <v>149</v>
      </c>
      <c r="C84" s="38"/>
      <c r="D84" s="39" t="s">
        <v>149</v>
      </c>
      <c r="E84" s="39" t="s">
        <v>132</v>
      </c>
      <c r="F84" s="40">
        <v>12.7</v>
      </c>
      <c r="G84" s="40">
        <v>14.3</v>
      </c>
      <c r="H84" s="41" t="s">
        <v>84</v>
      </c>
      <c r="I84" s="50">
        <v>252</v>
      </c>
    </row>
    <row r="85" customHeight="1" spans="1:9">
      <c r="A85" s="33">
        <v>58</v>
      </c>
      <c r="B85" s="76" t="s">
        <v>150</v>
      </c>
      <c r="C85" s="38"/>
      <c r="D85" s="39" t="s">
        <v>150</v>
      </c>
      <c r="E85" s="39" t="s">
        <v>95</v>
      </c>
      <c r="F85" s="40">
        <v>33.4</v>
      </c>
      <c r="G85" s="40">
        <v>37.6</v>
      </c>
      <c r="H85" s="41" t="s">
        <v>84</v>
      </c>
      <c r="I85" s="50">
        <v>96</v>
      </c>
    </row>
    <row r="86" customHeight="1" spans="1:9">
      <c r="A86" s="33">
        <v>59</v>
      </c>
      <c r="B86" s="76" t="s">
        <v>151</v>
      </c>
      <c r="C86" s="38"/>
      <c r="D86" s="39" t="s">
        <v>152</v>
      </c>
      <c r="E86" s="39" t="s">
        <v>153</v>
      </c>
      <c r="F86" s="40">
        <v>42.9</v>
      </c>
      <c r="G86" s="40">
        <v>48.4</v>
      </c>
      <c r="H86" s="41" t="s">
        <v>137</v>
      </c>
      <c r="I86" s="50">
        <v>74</v>
      </c>
    </row>
    <row r="87" customHeight="1" spans="1:9">
      <c r="A87" s="33">
        <v>60</v>
      </c>
      <c r="B87" s="76" t="s">
        <v>154</v>
      </c>
      <c r="C87" s="38"/>
      <c r="D87" s="39" t="s">
        <v>155</v>
      </c>
      <c r="E87" s="39" t="s">
        <v>95</v>
      </c>
      <c r="F87" s="40">
        <v>30.9</v>
      </c>
      <c r="G87" s="40">
        <v>34.5</v>
      </c>
      <c r="H87" s="41" t="s">
        <v>144</v>
      </c>
      <c r="I87" s="50">
        <v>104</v>
      </c>
    </row>
    <row r="88" customHeight="1" spans="1:9">
      <c r="A88" s="33">
        <v>61</v>
      </c>
      <c r="B88" s="76" t="s">
        <v>156</v>
      </c>
      <c r="C88" s="38"/>
      <c r="D88" s="39" t="s">
        <v>157</v>
      </c>
      <c r="E88" s="39" t="s">
        <v>83</v>
      </c>
      <c r="F88" s="40">
        <v>15.5</v>
      </c>
      <c r="G88" s="40">
        <v>17.2</v>
      </c>
      <c r="H88" s="41" t="s">
        <v>79</v>
      </c>
      <c r="I88" s="50">
        <v>209</v>
      </c>
    </row>
    <row r="89" customHeight="1" spans="1:9">
      <c r="A89" s="33">
        <v>62</v>
      </c>
      <c r="B89" s="76" t="s">
        <v>158</v>
      </c>
      <c r="C89" s="38"/>
      <c r="D89" s="39" t="s">
        <v>158</v>
      </c>
      <c r="E89" s="39" t="s">
        <v>41</v>
      </c>
      <c r="F89" s="40">
        <v>9.4</v>
      </c>
      <c r="G89" s="40">
        <v>10.3</v>
      </c>
      <c r="H89" s="41" t="s">
        <v>81</v>
      </c>
      <c r="I89" s="50">
        <v>350</v>
      </c>
    </row>
    <row r="90" customHeight="1" spans="1:9">
      <c r="A90" s="33">
        <v>63</v>
      </c>
      <c r="B90" s="76" t="s">
        <v>159</v>
      </c>
      <c r="C90" s="38"/>
      <c r="D90" s="39" t="s">
        <v>160</v>
      </c>
      <c r="E90" s="39" t="s">
        <v>83</v>
      </c>
      <c r="F90" s="40">
        <v>16.7</v>
      </c>
      <c r="G90" s="40">
        <v>18.8</v>
      </c>
      <c r="H90" s="41" t="s">
        <v>39</v>
      </c>
      <c r="I90" s="50">
        <v>191</v>
      </c>
    </row>
    <row r="91" customHeight="1" spans="1:9">
      <c r="A91" s="33">
        <v>64</v>
      </c>
      <c r="B91" s="76" t="s">
        <v>161</v>
      </c>
      <c r="C91" s="38"/>
      <c r="D91" s="39" t="s">
        <v>162</v>
      </c>
      <c r="E91" s="39" t="s">
        <v>132</v>
      </c>
      <c r="F91" s="40">
        <v>28.8</v>
      </c>
      <c r="G91" s="40">
        <v>32.5</v>
      </c>
      <c r="H91" s="41" t="s">
        <v>163</v>
      </c>
      <c r="I91" s="50">
        <v>111</v>
      </c>
    </row>
    <row r="92" customHeight="1" spans="1:9">
      <c r="A92" s="33">
        <v>65</v>
      </c>
      <c r="B92" s="76" t="s">
        <v>164</v>
      </c>
      <c r="C92" s="38"/>
      <c r="D92" s="39" t="s">
        <v>164</v>
      </c>
      <c r="E92" s="39" t="s">
        <v>83</v>
      </c>
      <c r="F92" s="40">
        <v>31.3</v>
      </c>
      <c r="G92" s="40">
        <v>35.6</v>
      </c>
      <c r="H92" s="41" t="s">
        <v>79</v>
      </c>
      <c r="I92" s="50">
        <v>101</v>
      </c>
    </row>
    <row r="93" spans="1:9">
      <c r="A93" s="33">
        <v>66</v>
      </c>
      <c r="B93" s="76" t="s">
        <v>165</v>
      </c>
      <c r="C93" s="38"/>
      <c r="D93" s="39" t="s">
        <v>166</v>
      </c>
      <c r="E93" s="39" t="s">
        <v>83</v>
      </c>
      <c r="F93" s="40">
        <v>37.6</v>
      </c>
      <c r="G93" s="40">
        <v>42.5</v>
      </c>
      <c r="H93" s="41" t="s">
        <v>137</v>
      </c>
      <c r="I93" s="50">
        <v>85</v>
      </c>
    </row>
    <row r="94" s="4" customFormat="1" spans="1:9">
      <c r="A94" s="33">
        <v>120</v>
      </c>
      <c r="B94" s="76" t="s">
        <v>167</v>
      </c>
      <c r="C94" s="38"/>
      <c r="D94" s="36" t="s">
        <v>167</v>
      </c>
      <c r="E94" s="36" t="s">
        <v>168</v>
      </c>
      <c r="F94" s="36">
        <v>36</v>
      </c>
      <c r="G94" s="36">
        <v>39.8</v>
      </c>
      <c r="H94" s="36" t="s">
        <v>118</v>
      </c>
      <c r="I94" s="36">
        <v>90</v>
      </c>
    </row>
    <row r="95" spans="1:9">
      <c r="A95" s="33"/>
      <c r="B95" s="78" t="s">
        <v>169</v>
      </c>
      <c r="C95" s="20"/>
      <c r="D95" s="59" t="s">
        <v>169</v>
      </c>
      <c r="E95" s="59"/>
      <c r="F95" s="59"/>
      <c r="G95" s="59"/>
      <c r="H95" s="59"/>
      <c r="I95" s="59"/>
    </row>
    <row r="96" spans="1:11">
      <c r="A96" s="33">
        <v>90</v>
      </c>
      <c r="B96" s="78" t="s">
        <v>170</v>
      </c>
      <c r="C96" s="20"/>
      <c r="D96" s="59" t="s">
        <v>170</v>
      </c>
      <c r="E96" s="59" t="s">
        <v>41</v>
      </c>
      <c r="F96" s="59">
        <v>35.1</v>
      </c>
      <c r="G96" s="59">
        <v>38.7</v>
      </c>
      <c r="H96" s="59" t="s">
        <v>81</v>
      </c>
      <c r="I96" s="59">
        <v>93</v>
      </c>
      <c r="J96" s="9">
        <f>VLOOKUP(D96,'[1]76Z0001'!$B:$E,4,0)</f>
        <v>38.7</v>
      </c>
      <c r="K96" s="9">
        <f t="shared" ref="K96:K98" si="0">G96-J96</f>
        <v>0</v>
      </c>
    </row>
    <row r="97" spans="1:11">
      <c r="A97" s="33">
        <v>35</v>
      </c>
      <c r="B97" s="58" t="s">
        <v>171</v>
      </c>
      <c r="C97" s="60"/>
      <c r="D97" s="36" t="s">
        <v>171</v>
      </c>
      <c r="E97" s="36" t="s">
        <v>172</v>
      </c>
      <c r="F97" s="36">
        <v>53.3</v>
      </c>
      <c r="G97" s="36">
        <v>58.9</v>
      </c>
      <c r="H97" s="36" t="s">
        <v>61</v>
      </c>
      <c r="I97" s="36">
        <v>61</v>
      </c>
      <c r="J97" s="9">
        <f>VLOOKUP(D97,'[1]76Z0001'!$B:$E,4,0)</f>
        <v>58.9</v>
      </c>
      <c r="K97" s="9">
        <f t="shared" si="0"/>
        <v>0</v>
      </c>
    </row>
    <row r="98" spans="1:11">
      <c r="A98" s="33">
        <v>83</v>
      </c>
      <c r="B98" s="58" t="s">
        <v>173</v>
      </c>
      <c r="C98" s="60"/>
      <c r="D98" s="61" t="s">
        <v>174</v>
      </c>
      <c r="E98" s="61"/>
      <c r="F98" s="61"/>
      <c r="G98" s="61">
        <v>19.7</v>
      </c>
      <c r="H98" s="61"/>
      <c r="I98" s="61">
        <v>183</v>
      </c>
      <c r="J98" s="9">
        <v>6.5</v>
      </c>
      <c r="K98" s="9">
        <f t="shared" si="0"/>
        <v>13.2</v>
      </c>
    </row>
    <row r="99" spans="1:9">
      <c r="A99" s="33"/>
      <c r="B99" s="78" t="s">
        <v>175</v>
      </c>
      <c r="C99" s="20"/>
      <c r="D99" s="36" t="s">
        <v>175</v>
      </c>
      <c r="E99" s="36"/>
      <c r="F99" s="36"/>
      <c r="G99" s="36">
        <f>SUM(G96:G98)</f>
        <v>117.3</v>
      </c>
      <c r="H99" s="36"/>
      <c r="I99" s="36"/>
    </row>
    <row r="100" spans="1:11">
      <c r="A100" s="33">
        <v>102</v>
      </c>
      <c r="B100" s="78" t="s">
        <v>176</v>
      </c>
      <c r="C100" s="20"/>
      <c r="D100" s="36" t="s">
        <v>176</v>
      </c>
      <c r="E100" s="36" t="s">
        <v>41</v>
      </c>
      <c r="F100" s="36">
        <v>3.8</v>
      </c>
      <c r="G100" s="36">
        <v>4.2</v>
      </c>
      <c r="H100" s="36" t="s">
        <v>81</v>
      </c>
      <c r="I100" s="36">
        <v>857</v>
      </c>
      <c r="J100" s="9">
        <f>VLOOKUP(D100,'[1]76Z0001'!$B:$E,4,0)</f>
        <v>4.2</v>
      </c>
      <c r="K100" s="9">
        <f>G100-J100</f>
        <v>0</v>
      </c>
    </row>
    <row r="101" spans="1:11">
      <c r="A101" s="33">
        <v>103</v>
      </c>
      <c r="B101" s="78" t="s">
        <v>177</v>
      </c>
      <c r="C101" s="20"/>
      <c r="D101" s="61" t="s">
        <v>178</v>
      </c>
      <c r="E101" s="61" t="s">
        <v>179</v>
      </c>
      <c r="F101" s="61">
        <v>48.2</v>
      </c>
      <c r="G101" s="61">
        <v>54.3</v>
      </c>
      <c r="H101" s="61" t="s">
        <v>137</v>
      </c>
      <c r="I101" s="61">
        <v>66</v>
      </c>
      <c r="J101" s="9">
        <v>48.6</v>
      </c>
      <c r="K101" s="9">
        <f t="shared" ref="K101:K112" si="1">G101-J101</f>
        <v>5.7</v>
      </c>
    </row>
    <row r="102" spans="1:11">
      <c r="A102" s="33">
        <v>105</v>
      </c>
      <c r="B102" s="78" t="s">
        <v>180</v>
      </c>
      <c r="C102" s="20"/>
      <c r="D102" s="61" t="s">
        <v>181</v>
      </c>
      <c r="E102" s="61" t="s">
        <v>41</v>
      </c>
      <c r="F102" s="61">
        <v>46.8</v>
      </c>
      <c r="G102" s="61">
        <v>51.7</v>
      </c>
      <c r="H102" s="61" t="s">
        <v>61</v>
      </c>
      <c r="I102" s="61">
        <v>70</v>
      </c>
      <c r="J102" s="9">
        <v>47.7</v>
      </c>
      <c r="K102" s="9">
        <f t="shared" si="1"/>
        <v>4</v>
      </c>
    </row>
    <row r="103" spans="1:11">
      <c r="A103" s="33"/>
      <c r="B103" s="78" t="s">
        <v>182</v>
      </c>
      <c r="C103" s="20"/>
      <c r="D103" s="36" t="s">
        <v>182</v>
      </c>
      <c r="E103" s="36" t="s">
        <v>41</v>
      </c>
      <c r="F103" s="36">
        <v>5.8</v>
      </c>
      <c r="G103" s="36">
        <v>6.4</v>
      </c>
      <c r="H103" s="36" t="s">
        <v>81</v>
      </c>
      <c r="I103" s="36">
        <v>563</v>
      </c>
      <c r="J103" s="9">
        <f>VLOOKUP(D103,'[1]76Z0001'!$B:$E,4,0)</f>
        <v>6.5</v>
      </c>
      <c r="K103" s="9">
        <f t="shared" si="1"/>
        <v>-0.0999999999999996</v>
      </c>
    </row>
    <row r="104" spans="1:11">
      <c r="A104" s="33"/>
      <c r="B104" s="78" t="s">
        <v>183</v>
      </c>
      <c r="C104" s="20"/>
      <c r="D104" s="36" t="s">
        <v>183</v>
      </c>
      <c r="E104" s="36" t="s">
        <v>41</v>
      </c>
      <c r="F104" s="36">
        <v>3</v>
      </c>
      <c r="G104" s="36">
        <v>3.3</v>
      </c>
      <c r="H104" s="36" t="s">
        <v>81</v>
      </c>
      <c r="I104" s="36">
        <v>1091</v>
      </c>
      <c r="J104" s="9">
        <f>VLOOKUP(D104,'[1]76Z0001'!$B:$E,4,0)</f>
        <v>3.3</v>
      </c>
      <c r="K104" s="9">
        <f t="shared" si="1"/>
        <v>0</v>
      </c>
    </row>
    <row r="105" spans="1:11">
      <c r="A105" s="33">
        <v>172</v>
      </c>
      <c r="B105" s="78" t="s">
        <v>184</v>
      </c>
      <c r="C105" s="20"/>
      <c r="D105" s="36" t="s">
        <v>184</v>
      </c>
      <c r="E105" s="36" t="s">
        <v>41</v>
      </c>
      <c r="F105" s="36">
        <v>3.8</v>
      </c>
      <c r="G105" s="36">
        <v>4.2</v>
      </c>
      <c r="H105" s="36" t="s">
        <v>81</v>
      </c>
      <c r="I105" s="36">
        <v>857</v>
      </c>
      <c r="J105" s="9">
        <f>VLOOKUP(D105,'[1]76Z0001'!$B:$E,4,0)</f>
        <v>4.2</v>
      </c>
      <c r="K105" s="9">
        <f t="shared" si="1"/>
        <v>0</v>
      </c>
    </row>
    <row r="106" spans="1:11">
      <c r="A106" s="33">
        <v>108</v>
      </c>
      <c r="B106" s="78" t="s">
        <v>185</v>
      </c>
      <c r="C106" s="20"/>
      <c r="D106" s="36" t="s">
        <v>185</v>
      </c>
      <c r="E106" s="36" t="s">
        <v>41</v>
      </c>
      <c r="F106" s="36">
        <v>11.5</v>
      </c>
      <c r="G106" s="36">
        <v>12.7</v>
      </c>
      <c r="H106" s="36" t="s">
        <v>186</v>
      </c>
      <c r="I106" s="36">
        <v>283</v>
      </c>
      <c r="J106" s="9">
        <v>11.1</v>
      </c>
      <c r="K106" s="9">
        <f t="shared" si="1"/>
        <v>1.6</v>
      </c>
    </row>
    <row r="107" spans="1:11">
      <c r="A107" s="33">
        <v>107</v>
      </c>
      <c r="B107" s="78" t="s">
        <v>187</v>
      </c>
      <c r="C107" s="20"/>
      <c r="D107" s="36" t="s">
        <v>187</v>
      </c>
      <c r="E107" s="36" t="s">
        <v>41</v>
      </c>
      <c r="F107" s="36">
        <v>8.8</v>
      </c>
      <c r="G107" s="36">
        <v>9.7</v>
      </c>
      <c r="H107" s="36" t="s">
        <v>81</v>
      </c>
      <c r="I107" s="36">
        <v>371</v>
      </c>
      <c r="J107" s="9">
        <f>VLOOKUP(D107,'[1]76Z0001'!$B:$E,4,0)</f>
        <v>9.7</v>
      </c>
      <c r="K107" s="9">
        <f t="shared" si="1"/>
        <v>0</v>
      </c>
    </row>
    <row r="108" spans="1:11">
      <c r="A108" s="33">
        <v>154</v>
      </c>
      <c r="B108" s="78" t="s">
        <v>188</v>
      </c>
      <c r="C108" s="20"/>
      <c r="D108" s="36" t="s">
        <v>188</v>
      </c>
      <c r="E108" s="36" t="s">
        <v>41</v>
      </c>
      <c r="F108" s="36">
        <v>17.6</v>
      </c>
      <c r="G108" s="36">
        <v>19.4</v>
      </c>
      <c r="H108" s="36" t="s">
        <v>81</v>
      </c>
      <c r="I108" s="36">
        <v>186</v>
      </c>
      <c r="J108" s="9">
        <f>VLOOKUP(D108,'[1]76Z0001'!$B:$E,4,0)</f>
        <v>19.4</v>
      </c>
      <c r="K108" s="9">
        <f t="shared" si="1"/>
        <v>0</v>
      </c>
    </row>
    <row r="109" spans="1:11">
      <c r="A109" s="33">
        <v>140</v>
      </c>
      <c r="B109" s="78" t="s">
        <v>189</v>
      </c>
      <c r="C109" s="20"/>
      <c r="D109" s="36" t="s">
        <v>189</v>
      </c>
      <c r="E109" s="36" t="s">
        <v>41</v>
      </c>
      <c r="F109" s="36">
        <v>3</v>
      </c>
      <c r="G109" s="36">
        <v>3.3</v>
      </c>
      <c r="H109" s="36" t="s">
        <v>81</v>
      </c>
      <c r="I109" s="36">
        <v>1091</v>
      </c>
      <c r="J109" s="9">
        <f>VLOOKUP(D109,'[1]76Z0001'!$B:$E,4,0)</f>
        <v>3.3</v>
      </c>
      <c r="K109" s="9">
        <f t="shared" si="1"/>
        <v>0</v>
      </c>
    </row>
    <row r="110" spans="1:11">
      <c r="A110" s="33">
        <v>152</v>
      </c>
      <c r="B110" s="78" t="s">
        <v>190</v>
      </c>
      <c r="C110" s="20"/>
      <c r="D110" s="36" t="s">
        <v>190</v>
      </c>
      <c r="E110" s="36" t="s">
        <v>41</v>
      </c>
      <c r="F110" s="36">
        <v>1.4</v>
      </c>
      <c r="G110" s="36">
        <v>1.6</v>
      </c>
      <c r="H110" s="36" t="s">
        <v>81</v>
      </c>
      <c r="I110" s="36">
        <v>2250</v>
      </c>
      <c r="J110" s="9">
        <f>VLOOKUP(D110,'[1]76Z0001'!$B:$E,4,0)</f>
        <v>1.6</v>
      </c>
      <c r="K110" s="9">
        <f t="shared" si="1"/>
        <v>0</v>
      </c>
    </row>
    <row r="111" s="6" customFormat="1" ht="24" spans="1:11">
      <c r="A111" s="69">
        <v>131</v>
      </c>
      <c r="B111" s="79" t="s">
        <v>191</v>
      </c>
      <c r="C111" s="70"/>
      <c r="D111" s="71" t="s">
        <v>191</v>
      </c>
      <c r="E111" s="71" t="s">
        <v>41</v>
      </c>
      <c r="F111" s="71">
        <v>10.8</v>
      </c>
      <c r="G111" s="71">
        <v>11.9</v>
      </c>
      <c r="H111" s="71" t="s">
        <v>81</v>
      </c>
      <c r="I111" s="71">
        <v>303</v>
      </c>
      <c r="J111" s="6">
        <v>11.9</v>
      </c>
      <c r="K111" s="6">
        <f t="shared" si="1"/>
        <v>0</v>
      </c>
    </row>
    <row r="112" spans="1:11">
      <c r="A112" s="33">
        <v>169</v>
      </c>
      <c r="B112" s="78" t="s">
        <v>192</v>
      </c>
      <c r="C112" s="20"/>
      <c r="D112" s="36" t="s">
        <v>192</v>
      </c>
      <c r="E112" s="36" t="s">
        <v>41</v>
      </c>
      <c r="F112" s="36">
        <v>0.9</v>
      </c>
      <c r="G112" s="36">
        <v>1</v>
      </c>
      <c r="H112" s="36" t="s">
        <v>81</v>
      </c>
      <c r="I112" s="36">
        <v>3600</v>
      </c>
      <c r="J112" s="9">
        <f>VLOOKUP(D112,'[1]76Z0001'!$B:$E,4,0)</f>
        <v>1</v>
      </c>
      <c r="K112" s="9">
        <f t="shared" si="1"/>
        <v>0</v>
      </c>
    </row>
    <row r="113" s="7" customFormat="1" spans="1:9">
      <c r="A113" s="15" t="s">
        <v>193</v>
      </c>
      <c r="B113" s="15"/>
      <c r="C113" s="15"/>
      <c r="D113" s="15"/>
      <c r="E113" s="15"/>
      <c r="F113" s="15"/>
      <c r="G113" s="15">
        <f>SUM(G100:G112)</f>
        <v>183.7</v>
      </c>
      <c r="H113" s="15"/>
      <c r="I113" s="15"/>
    </row>
  </sheetData>
  <autoFilter xmlns:etc="http://www.wps.cn/officeDocument/2017/etCustomData" ref="A20:CV113" etc:filterBottomFollowUsedRange="0">
    <extLst/>
  </autoFilter>
  <mergeCells count="21">
    <mergeCell ref="A1:I1"/>
    <mergeCell ref="A2:I2"/>
    <mergeCell ref="A3:I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J77:J79"/>
    <mergeCell ref="G4:I19"/>
  </mergeCells>
  <conditionalFormatting sqref="A1:A96 A99:A1048576">
    <cfRule type="duplicateValues" dxfId="0" priority="2"/>
  </conditionalFormatting>
  <conditionalFormatting sqref="D1:D76 D80:D1048576">
    <cfRule type="duplicateValues" dxfId="0" priority="1"/>
  </conditionalFormatting>
  <printOptions horizontalCentered="1"/>
  <pageMargins left="0.0784722222222222" right="0.0784722222222222" top="0.395833333333333" bottom="0.395833333333333" header="0.197916666666667" footer="0.197916666666667"/>
  <pageSetup paperSize="9" scale="76" orientation="portrait"/>
  <headerFooter>
    <oddFooter>&amp;R&amp;D &amp;T</oddFooter>
  </headerFooter>
  <rowBreaks count="1" manualBreakCount="1">
    <brk id="94" max="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J116"/>
  <sheetViews>
    <sheetView tabSelected="1" view="pageBreakPreview" zoomScale="115" zoomScaleNormal="100" workbookViewId="0">
      <selection activeCell="O11" sqref="O11"/>
    </sheetView>
  </sheetViews>
  <sheetFormatPr defaultColWidth="9" defaultRowHeight="12"/>
  <cols>
    <col min="1" max="1" width="9.625" style="8" customWidth="1"/>
    <col min="2" max="2" width="45.75" style="4" customWidth="1"/>
    <col min="3" max="3" width="4.56666666666667" style="1" hidden="1" customWidth="1"/>
    <col min="4" max="4" width="35" style="9" customWidth="1"/>
    <col min="5" max="5" width="13.625" style="9" customWidth="1"/>
    <col min="6" max="6" width="7.125" style="9" customWidth="1"/>
    <col min="7" max="7" width="6.5" style="9" customWidth="1"/>
    <col min="8" max="9" width="7.125" style="9" customWidth="1"/>
    <col min="10" max="10" width="16.7333333333333" style="9" customWidth="1"/>
    <col min="11" max="87" width="9" style="9"/>
    <col min="88" max="88" width="59.625" style="9" customWidth="1"/>
    <col min="89" max="16384" width="9" style="9"/>
  </cols>
  <sheetData>
    <row r="1" s="1" customFormat="1" ht="25.5" spans="1:9">
      <c r="A1" s="10" t="s">
        <v>0</v>
      </c>
      <c r="B1" s="10"/>
      <c r="C1" s="10"/>
      <c r="D1" s="11"/>
      <c r="E1" s="11"/>
      <c r="F1" s="11"/>
      <c r="G1" s="11"/>
      <c r="H1" s="11"/>
      <c r="I1" s="11"/>
    </row>
    <row r="2" s="1" customFormat="1" ht="20.25" spans="1:9">
      <c r="A2" s="12" t="s">
        <v>1</v>
      </c>
      <c r="B2" s="12"/>
      <c r="C2" s="12"/>
      <c r="D2" s="13"/>
      <c r="E2" s="13"/>
      <c r="F2" s="13"/>
      <c r="G2" s="13"/>
      <c r="H2" s="13"/>
      <c r="I2" s="13"/>
    </row>
    <row r="3" s="1" customFormat="1" spans="1:9">
      <c r="A3" s="14" t="s">
        <v>2</v>
      </c>
      <c r="B3" s="15"/>
      <c r="C3" s="15"/>
      <c r="D3" s="15"/>
      <c r="E3" s="15"/>
      <c r="F3" s="15"/>
      <c r="G3" s="15"/>
      <c r="H3" s="15"/>
      <c r="I3" s="15"/>
    </row>
    <row r="4" s="1" customFormat="1" spans="1:9">
      <c r="A4" s="16" t="s">
        <v>3</v>
      </c>
      <c r="B4" s="17" t="s">
        <v>4</v>
      </c>
      <c r="C4" s="18"/>
      <c r="D4" s="18"/>
      <c r="E4" s="18"/>
      <c r="F4" s="19"/>
      <c r="G4" s="20"/>
      <c r="H4" s="20"/>
      <c r="I4" s="20"/>
    </row>
    <row r="5" s="1" customFormat="1" spans="1:9">
      <c r="A5" s="16" t="s">
        <v>5</v>
      </c>
      <c r="B5" s="21" t="s">
        <v>6</v>
      </c>
      <c r="C5" s="22"/>
      <c r="D5" s="22"/>
      <c r="E5" s="22"/>
      <c r="F5" s="23"/>
      <c r="G5" s="20"/>
      <c r="H5" s="20"/>
      <c r="I5" s="20"/>
    </row>
    <row r="6" s="1" customFormat="1" spans="1:9">
      <c r="A6" s="16" t="s">
        <v>7</v>
      </c>
      <c r="B6" s="17" t="s">
        <v>8</v>
      </c>
      <c r="C6" s="18"/>
      <c r="D6" s="18"/>
      <c r="E6" s="18"/>
      <c r="F6" s="19"/>
      <c r="G6" s="20"/>
      <c r="H6" s="20"/>
      <c r="I6" s="20"/>
    </row>
    <row r="7" s="1" customFormat="1" hidden="1" customHeight="1" spans="1:88">
      <c r="A7" s="16" t="s">
        <v>9</v>
      </c>
      <c r="B7" s="21"/>
      <c r="C7" s="24"/>
      <c r="D7" s="24"/>
      <c r="E7" s="24"/>
      <c r="F7" s="25"/>
      <c r="G7" s="20"/>
      <c r="H7" s="20"/>
      <c r="I7" s="20"/>
      <c r="CJ7" s="53"/>
    </row>
    <row r="8" s="1" customFormat="1" hidden="1" customHeight="1" spans="1:88">
      <c r="A8" s="16" t="s">
        <v>10</v>
      </c>
      <c r="B8" s="21"/>
      <c r="C8" s="24"/>
      <c r="D8" s="24"/>
      <c r="E8" s="24"/>
      <c r="F8" s="25"/>
      <c r="G8" s="20"/>
      <c r="H8" s="20"/>
      <c r="I8" s="20"/>
      <c r="CJ8" s="53"/>
    </row>
    <row r="9" s="1" customFormat="1" spans="1:9">
      <c r="A9" s="16" t="s">
        <v>11</v>
      </c>
      <c r="B9" s="21">
        <v>9585</v>
      </c>
      <c r="C9" s="22"/>
      <c r="D9" s="22"/>
      <c r="E9" s="22"/>
      <c r="F9" s="23"/>
      <c r="G9" s="20"/>
      <c r="H9" s="20"/>
      <c r="I9" s="20"/>
    </row>
    <row r="10" s="1" customFormat="1" spans="1:9">
      <c r="A10" s="26" t="s">
        <v>12</v>
      </c>
      <c r="B10" s="21">
        <f>SUM(G42:G62,G66:G93)</f>
        <v>1114.6</v>
      </c>
      <c r="C10" s="22"/>
      <c r="D10" s="22"/>
      <c r="E10" s="22"/>
      <c r="F10" s="23"/>
      <c r="G10" s="20"/>
      <c r="H10" s="20"/>
      <c r="I10" s="20"/>
    </row>
    <row r="11" s="1" customFormat="1" ht="18" customHeight="1" spans="1:9">
      <c r="A11" s="26" t="s">
        <v>13</v>
      </c>
      <c r="B11" s="21">
        <f>37800/B10</f>
        <v>33.9135115736587</v>
      </c>
      <c r="C11" s="22"/>
      <c r="D11" s="22"/>
      <c r="E11" s="22"/>
      <c r="F11" s="23"/>
      <c r="G11" s="20"/>
      <c r="H11" s="20"/>
      <c r="I11" s="20"/>
    </row>
    <row r="12" s="1" customFormat="1" spans="1:9">
      <c r="A12" s="16" t="s">
        <v>14</v>
      </c>
      <c r="B12" s="21"/>
      <c r="C12" s="22"/>
      <c r="D12" s="22"/>
      <c r="E12" s="22"/>
      <c r="F12" s="23"/>
      <c r="G12" s="20"/>
      <c r="H12" s="20"/>
      <c r="I12" s="20"/>
    </row>
    <row r="13" s="1" customFormat="1" spans="1:9">
      <c r="A13" s="16" t="s">
        <v>15</v>
      </c>
      <c r="B13" s="27"/>
      <c r="C13" s="28"/>
      <c r="D13" s="28"/>
      <c r="E13" s="28"/>
      <c r="F13" s="29"/>
      <c r="G13" s="20"/>
      <c r="H13" s="20"/>
      <c r="I13" s="20"/>
    </row>
    <row r="14" s="1" customFormat="1" spans="1:9">
      <c r="A14" s="26" t="s">
        <v>16</v>
      </c>
      <c r="B14" s="21"/>
      <c r="C14" s="22"/>
      <c r="D14" s="22"/>
      <c r="E14" s="22"/>
      <c r="F14" s="23"/>
      <c r="G14" s="20"/>
      <c r="H14" s="20"/>
      <c r="I14" s="20"/>
    </row>
    <row r="15" s="1" customFormat="1" spans="1:9">
      <c r="A15" s="26" t="s">
        <v>17</v>
      </c>
      <c r="B15" s="21"/>
      <c r="C15" s="22"/>
      <c r="D15" s="22"/>
      <c r="E15" s="22"/>
      <c r="F15" s="23"/>
      <c r="G15" s="20"/>
      <c r="H15" s="20"/>
      <c r="I15" s="20"/>
    </row>
    <row r="16" s="1" customFormat="1" spans="1:9">
      <c r="A16" s="26" t="s">
        <v>18</v>
      </c>
      <c r="B16" s="21"/>
      <c r="C16" s="22"/>
      <c r="D16" s="22"/>
      <c r="E16" s="22"/>
      <c r="F16" s="23"/>
      <c r="G16" s="20"/>
      <c r="H16" s="20"/>
      <c r="I16" s="20"/>
    </row>
    <row r="17" s="1" customFormat="1" spans="1:9">
      <c r="A17" s="26" t="s">
        <v>19</v>
      </c>
      <c r="B17" s="21"/>
      <c r="C17" s="22"/>
      <c r="D17" s="22"/>
      <c r="E17" s="22"/>
      <c r="F17" s="23"/>
      <c r="G17" s="20"/>
      <c r="H17" s="20"/>
      <c r="I17" s="20"/>
    </row>
    <row r="18" s="1" customFormat="1" customHeight="1" spans="1:88">
      <c r="A18" s="16" t="s">
        <v>20</v>
      </c>
      <c r="B18" s="21"/>
      <c r="C18" s="24"/>
      <c r="D18" s="24"/>
      <c r="E18" s="24"/>
      <c r="F18" s="25"/>
      <c r="G18" s="20"/>
      <c r="H18" s="20"/>
      <c r="I18" s="20"/>
      <c r="CJ18" s="53"/>
    </row>
    <row r="19" s="1" customFormat="1" spans="1:9">
      <c r="A19" s="16" t="s">
        <v>21</v>
      </c>
      <c r="B19" s="21" t="s">
        <v>22</v>
      </c>
      <c r="C19" s="22"/>
      <c r="D19" s="22"/>
      <c r="E19" s="22"/>
      <c r="F19" s="23"/>
      <c r="G19" s="20"/>
      <c r="H19" s="20"/>
      <c r="I19" s="20"/>
    </row>
    <row r="20" s="2" customFormat="1" spans="1:9">
      <c r="A20" s="30" t="s">
        <v>23</v>
      </c>
      <c r="B20" s="31" t="s">
        <v>24</v>
      </c>
      <c r="C20" s="26"/>
      <c r="D20" s="32" t="s">
        <v>24</v>
      </c>
      <c r="E20" s="32" t="s">
        <v>25</v>
      </c>
      <c r="F20" s="32" t="s">
        <v>26</v>
      </c>
      <c r="G20" s="32" t="s">
        <v>27</v>
      </c>
      <c r="H20" s="32" t="s">
        <v>28</v>
      </c>
      <c r="I20" s="32" t="s">
        <v>29</v>
      </c>
    </row>
    <row r="21" spans="1:9">
      <c r="A21" s="33"/>
      <c r="B21" s="34" t="s">
        <v>30</v>
      </c>
      <c r="C21" s="35"/>
      <c r="D21" s="36" t="s">
        <v>30</v>
      </c>
      <c r="E21" s="36"/>
      <c r="F21" s="36"/>
      <c r="G21" s="36"/>
      <c r="H21" s="36"/>
      <c r="I21" s="36"/>
    </row>
    <row r="22" spans="1:9">
      <c r="A22" s="33">
        <v>301</v>
      </c>
      <c r="B22" s="37" t="s">
        <v>31</v>
      </c>
      <c r="C22" s="38"/>
      <c r="D22" s="39" t="s">
        <v>31</v>
      </c>
      <c r="E22" s="39" t="s">
        <v>32</v>
      </c>
      <c r="F22" s="40">
        <v>4.8</v>
      </c>
      <c r="G22" s="40">
        <v>5.3</v>
      </c>
      <c r="H22" s="41" t="s">
        <v>33</v>
      </c>
      <c r="I22" s="50">
        <v>679</v>
      </c>
    </row>
    <row r="23" spans="1:9">
      <c r="A23" s="33">
        <v>302</v>
      </c>
      <c r="B23" s="37" t="s">
        <v>34</v>
      </c>
      <c r="C23" s="38"/>
      <c r="D23" s="39" t="s">
        <v>34</v>
      </c>
      <c r="E23" s="39" t="s">
        <v>35</v>
      </c>
      <c r="F23" s="40">
        <v>13.1</v>
      </c>
      <c r="G23" s="40">
        <v>14.7</v>
      </c>
      <c r="H23" s="41" t="s">
        <v>36</v>
      </c>
      <c r="I23" s="50">
        <v>245</v>
      </c>
    </row>
    <row r="24" spans="1:9">
      <c r="A24" s="33">
        <v>303</v>
      </c>
      <c r="B24" s="37" t="s">
        <v>37</v>
      </c>
      <c r="C24" s="38"/>
      <c r="D24" s="39" t="s">
        <v>37</v>
      </c>
      <c r="E24" s="39" t="s">
        <v>38</v>
      </c>
      <c r="F24" s="40">
        <v>10.4</v>
      </c>
      <c r="G24" s="40">
        <v>10.4</v>
      </c>
      <c r="H24" s="41" t="s">
        <v>39</v>
      </c>
      <c r="I24" s="50">
        <v>346</v>
      </c>
    </row>
    <row r="25" spans="1:9">
      <c r="A25" s="33">
        <v>5</v>
      </c>
      <c r="B25" s="37" t="s">
        <v>40</v>
      </c>
      <c r="C25" s="38"/>
      <c r="D25" s="39" t="s">
        <v>40</v>
      </c>
      <c r="E25" s="39" t="s">
        <v>41</v>
      </c>
      <c r="F25" s="40">
        <v>13.4</v>
      </c>
      <c r="G25" s="40">
        <v>14.8</v>
      </c>
      <c r="H25" s="41" t="s">
        <v>33</v>
      </c>
      <c r="I25" s="50">
        <v>243</v>
      </c>
    </row>
    <row r="26" spans="1:9">
      <c r="A26" s="33">
        <v>16</v>
      </c>
      <c r="B26" s="37" t="s">
        <v>42</v>
      </c>
      <c r="C26" s="38"/>
      <c r="D26" s="39" t="s">
        <v>42</v>
      </c>
      <c r="E26" s="39" t="s">
        <v>41</v>
      </c>
      <c r="F26" s="40">
        <v>16.7</v>
      </c>
      <c r="G26" s="40">
        <v>18.5</v>
      </c>
      <c r="H26" s="41" t="s">
        <v>33</v>
      </c>
      <c r="I26" s="50">
        <v>195</v>
      </c>
    </row>
    <row r="27" spans="1:9">
      <c r="A27" s="33">
        <v>170</v>
      </c>
      <c r="B27" s="37" t="s">
        <v>43</v>
      </c>
      <c r="C27" s="38"/>
      <c r="D27" s="39" t="s">
        <v>43</v>
      </c>
      <c r="E27" s="39" t="s">
        <v>41</v>
      </c>
      <c r="F27" s="40">
        <v>13</v>
      </c>
      <c r="G27" s="40">
        <v>14.3</v>
      </c>
      <c r="H27" s="41" t="s">
        <v>36</v>
      </c>
      <c r="I27" s="50">
        <v>252</v>
      </c>
    </row>
    <row r="28" spans="1:9">
      <c r="A28" s="33"/>
      <c r="B28" s="37" t="s">
        <v>44</v>
      </c>
      <c r="C28" s="38"/>
      <c r="D28" s="39" t="s">
        <v>44</v>
      </c>
      <c r="E28" s="39" t="s">
        <v>41</v>
      </c>
      <c r="F28" s="40">
        <v>0</v>
      </c>
      <c r="G28" s="40">
        <v>0</v>
      </c>
      <c r="H28" s="41" t="s">
        <v>36</v>
      </c>
      <c r="I28" s="50">
        <v>0</v>
      </c>
    </row>
    <row r="29" spans="1:9">
      <c r="A29" s="33">
        <v>54</v>
      </c>
      <c r="B29" s="37" t="s">
        <v>45</v>
      </c>
      <c r="C29" s="38"/>
      <c r="D29" s="39" t="s">
        <v>46</v>
      </c>
      <c r="E29" s="39" t="s">
        <v>47</v>
      </c>
      <c r="F29" s="40">
        <v>11.1</v>
      </c>
      <c r="G29" s="40">
        <v>12.5</v>
      </c>
      <c r="H29" s="41" t="s">
        <v>33</v>
      </c>
      <c r="I29" s="50">
        <v>288</v>
      </c>
    </row>
    <row r="30" spans="1:9">
      <c r="A30" s="33">
        <v>15</v>
      </c>
      <c r="B30" s="37" t="s">
        <v>48</v>
      </c>
      <c r="C30" s="38"/>
      <c r="D30" s="39" t="s">
        <v>48</v>
      </c>
      <c r="E30" s="39" t="s">
        <v>49</v>
      </c>
      <c r="F30" s="40">
        <v>14.4</v>
      </c>
      <c r="G30" s="40">
        <v>16.2</v>
      </c>
      <c r="H30" s="41" t="s">
        <v>33</v>
      </c>
      <c r="I30" s="50">
        <v>222</v>
      </c>
    </row>
    <row r="31" spans="1:9">
      <c r="A31" s="33">
        <v>304</v>
      </c>
      <c r="B31" s="37" t="s">
        <v>50</v>
      </c>
      <c r="C31" s="38"/>
      <c r="D31" s="39" t="s">
        <v>50</v>
      </c>
      <c r="E31" s="39" t="s">
        <v>32</v>
      </c>
      <c r="F31" s="40">
        <v>1.3</v>
      </c>
      <c r="G31" s="40">
        <v>1.5</v>
      </c>
      <c r="H31" s="41" t="s">
        <v>33</v>
      </c>
      <c r="I31" s="50">
        <v>2400</v>
      </c>
    </row>
    <row r="32" spans="1:9">
      <c r="A32" s="33">
        <v>305</v>
      </c>
      <c r="B32" s="37" t="s">
        <v>51</v>
      </c>
      <c r="C32" s="38"/>
      <c r="D32" s="39" t="s">
        <v>51</v>
      </c>
      <c r="E32" s="39" t="s">
        <v>35</v>
      </c>
      <c r="F32" s="40">
        <v>0.4</v>
      </c>
      <c r="G32" s="40">
        <v>0.4</v>
      </c>
      <c r="H32" s="41" t="s">
        <v>36</v>
      </c>
      <c r="I32" s="50">
        <v>9000</v>
      </c>
    </row>
    <row r="33" spans="1:9">
      <c r="A33" s="33">
        <v>306</v>
      </c>
      <c r="B33" s="37" t="s">
        <v>52</v>
      </c>
      <c r="C33" s="38"/>
      <c r="D33" s="39" t="s">
        <v>52</v>
      </c>
      <c r="E33" s="39" t="s">
        <v>38</v>
      </c>
      <c r="F33" s="40">
        <v>1.7</v>
      </c>
      <c r="G33" s="40">
        <v>1.7</v>
      </c>
      <c r="H33" s="41" t="s">
        <v>39</v>
      </c>
      <c r="I33" s="50">
        <v>2118</v>
      </c>
    </row>
    <row r="34" spans="1:9">
      <c r="A34" s="33">
        <v>3</v>
      </c>
      <c r="B34" s="37" t="s">
        <v>53</v>
      </c>
      <c r="C34" s="38"/>
      <c r="D34" s="39" t="s">
        <v>54</v>
      </c>
      <c r="E34" s="39" t="s">
        <v>41</v>
      </c>
      <c r="F34" s="40">
        <v>0.8</v>
      </c>
      <c r="G34" s="40">
        <v>0.9</v>
      </c>
      <c r="H34" s="41" t="s">
        <v>33</v>
      </c>
      <c r="I34" s="50">
        <v>4000</v>
      </c>
    </row>
    <row r="35" spans="1:9">
      <c r="A35" s="33">
        <v>17</v>
      </c>
      <c r="B35" s="37" t="s">
        <v>55</v>
      </c>
      <c r="C35" s="38"/>
      <c r="D35" s="39" t="s">
        <v>56</v>
      </c>
      <c r="E35" s="39" t="s">
        <v>57</v>
      </c>
      <c r="F35" s="40">
        <v>11.1</v>
      </c>
      <c r="G35" s="40">
        <v>12.5</v>
      </c>
      <c r="H35" s="41" t="s">
        <v>33</v>
      </c>
      <c r="I35" s="50">
        <v>288</v>
      </c>
    </row>
    <row r="36" spans="1:9">
      <c r="A36" s="33">
        <v>18</v>
      </c>
      <c r="B36" s="37" t="s">
        <v>58</v>
      </c>
      <c r="C36" s="38"/>
      <c r="D36" s="39" t="s">
        <v>59</v>
      </c>
      <c r="E36" s="39" t="s">
        <v>60</v>
      </c>
      <c r="F36" s="40">
        <v>14.9</v>
      </c>
      <c r="G36" s="40">
        <v>16.5</v>
      </c>
      <c r="H36" s="41" t="s">
        <v>61</v>
      </c>
      <c r="I36" s="50">
        <v>218</v>
      </c>
    </row>
    <row r="37" s="1" customFormat="1" ht="10" customHeight="1" spans="1:9">
      <c r="A37" s="42">
        <v>8</v>
      </c>
      <c r="B37" s="43" t="s">
        <v>62</v>
      </c>
      <c r="C37" s="44"/>
      <c r="D37" s="38" t="s">
        <v>63</v>
      </c>
      <c r="E37" s="38" t="s">
        <v>35</v>
      </c>
      <c r="F37" s="45">
        <v>0.2</v>
      </c>
      <c r="G37" s="45">
        <v>0.2</v>
      </c>
      <c r="H37" s="14" t="s">
        <v>33</v>
      </c>
      <c r="I37" s="51">
        <v>18000</v>
      </c>
    </row>
    <row r="38" s="1" customFormat="1" ht="10" customHeight="1" spans="1:9">
      <c r="A38" s="42">
        <v>4</v>
      </c>
      <c r="B38" s="43" t="s">
        <v>64</v>
      </c>
      <c r="C38" s="44"/>
      <c r="D38" s="38" t="s">
        <v>65</v>
      </c>
      <c r="E38" s="38" t="s">
        <v>66</v>
      </c>
      <c r="F38" s="45">
        <v>0.7</v>
      </c>
      <c r="G38" s="45">
        <v>0.8</v>
      </c>
      <c r="H38" s="14" t="s">
        <v>39</v>
      </c>
      <c r="I38" s="51">
        <v>4500</v>
      </c>
    </row>
    <row r="39" s="1" customFormat="1" ht="10" customHeight="1" spans="1:9">
      <c r="A39" s="42">
        <v>7</v>
      </c>
      <c r="B39" s="43" t="s">
        <v>67</v>
      </c>
      <c r="C39" s="44"/>
      <c r="D39" s="38" t="s">
        <v>68</v>
      </c>
      <c r="E39" s="38" t="s">
        <v>41</v>
      </c>
      <c r="F39" s="45">
        <v>0.3</v>
      </c>
      <c r="G39" s="45">
        <v>0.3</v>
      </c>
      <c r="H39" s="14" t="s">
        <v>36</v>
      </c>
      <c r="I39" s="51">
        <v>12000</v>
      </c>
    </row>
    <row r="40" spans="1:9">
      <c r="A40" s="33">
        <v>11</v>
      </c>
      <c r="B40" s="37" t="s">
        <v>69</v>
      </c>
      <c r="C40" s="38"/>
      <c r="D40" s="39"/>
      <c r="E40" s="39"/>
      <c r="F40" s="40"/>
      <c r="G40" s="40"/>
      <c r="H40" s="41"/>
      <c r="I40" s="50"/>
    </row>
    <row r="41" spans="1:9">
      <c r="A41" s="33"/>
      <c r="B41" s="34" t="s">
        <v>70</v>
      </c>
      <c r="C41" s="35"/>
      <c r="D41" s="39" t="s">
        <v>70</v>
      </c>
      <c r="E41" s="39"/>
      <c r="F41" s="40"/>
      <c r="G41" s="40"/>
      <c r="H41" s="41"/>
      <c r="I41" s="50"/>
    </row>
    <row r="42" spans="1:9">
      <c r="A42" s="33">
        <v>43</v>
      </c>
      <c r="B42" s="37" t="s">
        <v>71</v>
      </c>
      <c r="C42" s="38"/>
      <c r="D42" s="36" t="s">
        <v>72</v>
      </c>
      <c r="E42" s="36" t="s">
        <v>73</v>
      </c>
      <c r="F42" s="36">
        <v>0.9</v>
      </c>
      <c r="G42" s="36">
        <v>1</v>
      </c>
      <c r="H42" s="36" t="s">
        <v>61</v>
      </c>
      <c r="I42" s="36">
        <v>3600</v>
      </c>
    </row>
    <row r="43" spans="1:9">
      <c r="A43" s="33">
        <v>44</v>
      </c>
      <c r="B43" s="37" t="s">
        <v>74</v>
      </c>
      <c r="C43" s="38"/>
      <c r="D43" s="39" t="s">
        <v>75</v>
      </c>
      <c r="E43" s="39" t="s">
        <v>41</v>
      </c>
      <c r="F43" s="40">
        <v>1.8</v>
      </c>
      <c r="G43" s="40">
        <v>2</v>
      </c>
      <c r="H43" s="41" t="s">
        <v>33</v>
      </c>
      <c r="I43" s="50">
        <v>1800</v>
      </c>
    </row>
    <row r="44" ht="24" spans="1:9">
      <c r="A44" s="33">
        <v>23</v>
      </c>
      <c r="B44" s="37" t="s">
        <v>76</v>
      </c>
      <c r="C44" s="38"/>
      <c r="D44" s="39" t="s">
        <v>77</v>
      </c>
      <c r="E44" s="39" t="s">
        <v>78</v>
      </c>
      <c r="F44" s="40">
        <v>32.4</v>
      </c>
      <c r="G44" s="40">
        <v>38.5</v>
      </c>
      <c r="H44" s="41" t="s">
        <v>79</v>
      </c>
      <c r="I44" s="50">
        <v>94</v>
      </c>
    </row>
    <row r="45" spans="1:9">
      <c r="A45" s="33">
        <v>24</v>
      </c>
      <c r="B45" s="37" t="s">
        <v>80</v>
      </c>
      <c r="C45" s="38"/>
      <c r="D45" s="39" t="s">
        <v>80</v>
      </c>
      <c r="E45" s="39" t="s">
        <v>41</v>
      </c>
      <c r="F45" s="40">
        <v>16.4</v>
      </c>
      <c r="G45" s="40">
        <v>18.2</v>
      </c>
      <c r="H45" s="41" t="s">
        <v>81</v>
      </c>
      <c r="I45" s="50">
        <v>198</v>
      </c>
    </row>
    <row r="46" spans="1:9">
      <c r="A46" s="33">
        <v>25</v>
      </c>
      <c r="B46" s="37" t="s">
        <v>82</v>
      </c>
      <c r="C46" s="38"/>
      <c r="D46" s="39" t="s">
        <v>82</v>
      </c>
      <c r="E46" s="39" t="s">
        <v>83</v>
      </c>
      <c r="F46" s="40">
        <v>27.1</v>
      </c>
      <c r="G46" s="40">
        <v>30.9</v>
      </c>
      <c r="H46" s="41" t="s">
        <v>84</v>
      </c>
      <c r="I46" s="50">
        <v>117</v>
      </c>
    </row>
    <row r="47" customHeight="1" spans="1:9">
      <c r="A47" s="33">
        <v>26</v>
      </c>
      <c r="B47" s="37" t="s">
        <v>85</v>
      </c>
      <c r="C47" s="38"/>
      <c r="D47" s="39" t="s">
        <v>85</v>
      </c>
      <c r="E47" s="39" t="s">
        <v>86</v>
      </c>
      <c r="F47" s="40">
        <v>17</v>
      </c>
      <c r="G47" s="40">
        <v>19.1</v>
      </c>
      <c r="H47" s="41" t="s">
        <v>79</v>
      </c>
      <c r="I47" s="50">
        <v>188</v>
      </c>
    </row>
    <row r="48" customHeight="1" spans="1:9">
      <c r="A48" s="33">
        <v>28</v>
      </c>
      <c r="B48" s="37" t="s">
        <v>87</v>
      </c>
      <c r="C48" s="38"/>
      <c r="D48" s="39" t="s">
        <v>88</v>
      </c>
      <c r="E48" s="39" t="s">
        <v>89</v>
      </c>
      <c r="F48" s="40">
        <v>37.5</v>
      </c>
      <c r="G48" s="40">
        <v>41.5</v>
      </c>
      <c r="H48" s="41" t="s">
        <v>39</v>
      </c>
      <c r="I48" s="50">
        <v>87</v>
      </c>
    </row>
    <row r="49" customHeight="1" spans="1:9">
      <c r="A49" s="33">
        <v>29</v>
      </c>
      <c r="B49" s="37" t="s">
        <v>90</v>
      </c>
      <c r="C49" s="38"/>
      <c r="D49" s="39" t="s">
        <v>91</v>
      </c>
      <c r="E49" s="39" t="s">
        <v>83</v>
      </c>
      <c r="F49" s="40">
        <v>23.1</v>
      </c>
      <c r="G49" s="40">
        <v>26.1</v>
      </c>
      <c r="H49" s="41" t="s">
        <v>79</v>
      </c>
      <c r="I49" s="50">
        <v>138</v>
      </c>
    </row>
    <row r="50" customHeight="1" spans="1:9">
      <c r="A50" s="33">
        <v>30</v>
      </c>
      <c r="B50" s="37" t="s">
        <v>92</v>
      </c>
      <c r="C50" s="38"/>
      <c r="D50" s="39" t="s">
        <v>92</v>
      </c>
      <c r="E50" s="39" t="s">
        <v>57</v>
      </c>
      <c r="F50" s="40">
        <v>12.4</v>
      </c>
      <c r="G50" s="40">
        <v>14</v>
      </c>
      <c r="H50" s="41" t="s">
        <v>93</v>
      </c>
      <c r="I50" s="50">
        <v>257</v>
      </c>
    </row>
    <row r="51" customHeight="1" spans="1:9">
      <c r="A51" s="33">
        <v>31</v>
      </c>
      <c r="B51" s="37" t="s">
        <v>94</v>
      </c>
      <c r="C51" s="38"/>
      <c r="D51" s="39" t="s">
        <v>94</v>
      </c>
      <c r="E51" s="39" t="s">
        <v>95</v>
      </c>
      <c r="F51" s="40">
        <v>13.4</v>
      </c>
      <c r="G51" s="40">
        <v>15.1</v>
      </c>
      <c r="H51" s="41" t="s">
        <v>79</v>
      </c>
      <c r="I51" s="50">
        <v>238</v>
      </c>
    </row>
    <row r="52" customHeight="1" spans="1:9">
      <c r="A52" s="33">
        <v>32</v>
      </c>
      <c r="B52" s="37" t="s">
        <v>96</v>
      </c>
      <c r="C52" s="38"/>
      <c r="D52" s="39" t="s">
        <v>97</v>
      </c>
      <c r="E52" s="39" t="s">
        <v>83</v>
      </c>
      <c r="F52" s="40">
        <v>21.1</v>
      </c>
      <c r="G52" s="40">
        <v>23.6</v>
      </c>
      <c r="H52" s="41" t="s">
        <v>84</v>
      </c>
      <c r="I52" s="50">
        <v>153</v>
      </c>
    </row>
    <row r="53" customHeight="1" spans="1:9">
      <c r="A53" s="33">
        <v>33</v>
      </c>
      <c r="B53" s="37" t="s">
        <v>98</v>
      </c>
      <c r="C53" s="38"/>
      <c r="D53" s="39" t="s">
        <v>98</v>
      </c>
      <c r="E53" s="39" t="s">
        <v>57</v>
      </c>
      <c r="F53" s="40">
        <v>26.5</v>
      </c>
      <c r="G53" s="40">
        <v>29.8</v>
      </c>
      <c r="H53" s="41" t="s">
        <v>99</v>
      </c>
      <c r="I53" s="50">
        <v>121</v>
      </c>
    </row>
    <row r="54" customHeight="1" spans="1:9">
      <c r="A54" s="33">
        <v>34</v>
      </c>
      <c r="B54" s="37" t="s">
        <v>100</v>
      </c>
      <c r="C54" s="38"/>
      <c r="D54" s="39" t="s">
        <v>101</v>
      </c>
      <c r="E54" s="39" t="s">
        <v>89</v>
      </c>
      <c r="F54" s="40">
        <v>37.5</v>
      </c>
      <c r="G54" s="40">
        <v>41.5</v>
      </c>
      <c r="H54" s="41" t="s">
        <v>39</v>
      </c>
      <c r="I54" s="50">
        <v>87</v>
      </c>
    </row>
    <row r="55" customHeight="1" spans="1:9">
      <c r="A55" s="33"/>
      <c r="B55" s="34" t="s">
        <v>102</v>
      </c>
      <c r="C55" s="35"/>
      <c r="D55" s="39" t="s">
        <v>102</v>
      </c>
      <c r="E55" s="39"/>
      <c r="F55" s="40"/>
      <c r="G55" s="40"/>
      <c r="H55" s="41"/>
      <c r="I55" s="50"/>
    </row>
    <row r="56" customHeight="1" spans="1:9">
      <c r="A56" s="33">
        <v>36</v>
      </c>
      <c r="B56" s="37" t="s">
        <v>103</v>
      </c>
      <c r="C56" s="38"/>
      <c r="D56" s="36" t="s">
        <v>104</v>
      </c>
      <c r="E56" s="36" t="s">
        <v>83</v>
      </c>
      <c r="F56" s="36">
        <v>20.8</v>
      </c>
      <c r="G56" s="36">
        <v>23.4</v>
      </c>
      <c r="H56" s="36" t="s">
        <v>84</v>
      </c>
      <c r="I56" s="36">
        <v>154</v>
      </c>
    </row>
    <row r="57" customHeight="1" spans="1:9">
      <c r="A57" s="33">
        <v>37</v>
      </c>
      <c r="B57" s="37" t="s">
        <v>105</v>
      </c>
      <c r="C57" s="38"/>
      <c r="D57" s="39" t="s">
        <v>105</v>
      </c>
      <c r="E57" s="39" t="s">
        <v>41</v>
      </c>
      <c r="F57" s="40">
        <v>16.2</v>
      </c>
      <c r="G57" s="40">
        <v>17.9</v>
      </c>
      <c r="H57" s="41" t="s">
        <v>81</v>
      </c>
      <c r="I57" s="50">
        <v>201</v>
      </c>
    </row>
    <row r="58" customHeight="1" spans="1:9">
      <c r="A58" s="33">
        <v>38</v>
      </c>
      <c r="B58" s="37" t="s">
        <v>106</v>
      </c>
      <c r="C58" s="38"/>
      <c r="D58" s="39" t="s">
        <v>107</v>
      </c>
      <c r="E58" s="39" t="s">
        <v>83</v>
      </c>
      <c r="F58" s="40">
        <v>18.5</v>
      </c>
      <c r="G58" s="40">
        <v>20.6</v>
      </c>
      <c r="H58" s="41" t="s">
        <v>84</v>
      </c>
      <c r="I58" s="50">
        <v>175</v>
      </c>
    </row>
    <row r="59" spans="1:9">
      <c r="A59" s="33">
        <v>39</v>
      </c>
      <c r="B59" s="37" t="s">
        <v>108</v>
      </c>
      <c r="C59" s="38"/>
      <c r="D59" s="39" t="s">
        <v>108</v>
      </c>
      <c r="E59" s="39" t="s">
        <v>83</v>
      </c>
      <c r="F59" s="40">
        <v>23.5</v>
      </c>
      <c r="G59" s="40">
        <v>26.3</v>
      </c>
      <c r="H59" s="41" t="s">
        <v>84</v>
      </c>
      <c r="I59" s="50">
        <v>137</v>
      </c>
    </row>
    <row r="60" s="3" customFormat="1" spans="1:9">
      <c r="A60" s="46">
        <v>67</v>
      </c>
      <c r="B60" s="47" t="s">
        <v>109</v>
      </c>
      <c r="C60" s="38"/>
      <c r="D60" s="48" t="s">
        <v>110</v>
      </c>
      <c r="E60" s="48" t="s">
        <v>83</v>
      </c>
      <c r="F60" s="49">
        <v>18.1</v>
      </c>
      <c r="G60" s="49">
        <v>20.1</v>
      </c>
      <c r="H60" s="46" t="s">
        <v>111</v>
      </c>
      <c r="I60" s="52">
        <v>179</v>
      </c>
    </row>
    <row r="61" customHeight="1" spans="1:9">
      <c r="A61" s="33">
        <v>41</v>
      </c>
      <c r="B61" s="37" t="s">
        <v>112</v>
      </c>
      <c r="C61" s="38"/>
      <c r="D61" s="39" t="s">
        <v>113</v>
      </c>
      <c r="E61" s="39" t="s">
        <v>83</v>
      </c>
      <c r="F61" s="40">
        <v>13.5</v>
      </c>
      <c r="G61" s="40">
        <v>15.1</v>
      </c>
      <c r="H61" s="41" t="s">
        <v>79</v>
      </c>
      <c r="I61" s="50">
        <v>238</v>
      </c>
    </row>
    <row r="62" customHeight="1" spans="1:9">
      <c r="A62" s="33">
        <v>42</v>
      </c>
      <c r="B62" s="37" t="s">
        <v>114</v>
      </c>
      <c r="C62" s="38"/>
      <c r="D62" s="39" t="s">
        <v>115</v>
      </c>
      <c r="E62" s="39" t="s">
        <v>95</v>
      </c>
      <c r="F62" s="40">
        <v>22.4</v>
      </c>
      <c r="G62" s="40">
        <v>25.3</v>
      </c>
      <c r="H62" s="41" t="s">
        <v>84</v>
      </c>
      <c r="I62" s="50">
        <v>142</v>
      </c>
    </row>
    <row r="63" customHeight="1" spans="1:9">
      <c r="A63" s="33"/>
      <c r="B63" s="34" t="s">
        <v>116</v>
      </c>
      <c r="C63" s="35"/>
      <c r="D63" s="36" t="s">
        <v>116</v>
      </c>
      <c r="E63" s="36"/>
      <c r="F63" s="36"/>
      <c r="G63" s="36"/>
      <c r="H63" s="36"/>
      <c r="I63" s="36"/>
    </row>
    <row r="64" customHeight="1" spans="1:9">
      <c r="A64" s="33">
        <v>27</v>
      </c>
      <c r="B64" s="37" t="s">
        <v>117</v>
      </c>
      <c r="C64" s="38"/>
      <c r="D64" s="39" t="s">
        <v>117</v>
      </c>
      <c r="E64" s="39" t="s">
        <v>41</v>
      </c>
      <c r="F64" s="40">
        <v>36</v>
      </c>
      <c r="G64" s="40">
        <v>39.8</v>
      </c>
      <c r="H64" s="41" t="s">
        <v>118</v>
      </c>
      <c r="I64" s="50">
        <v>90</v>
      </c>
    </row>
    <row r="65" customHeight="1" spans="1:9">
      <c r="A65" s="33"/>
      <c r="B65" s="37" t="s">
        <v>119</v>
      </c>
      <c r="C65" s="38"/>
      <c r="D65" s="39" t="s">
        <v>119</v>
      </c>
      <c r="E65" s="39" t="s">
        <v>120</v>
      </c>
      <c r="F65" s="40">
        <v>1.3</v>
      </c>
      <c r="G65" s="40">
        <v>1.3</v>
      </c>
      <c r="H65" s="41" t="s">
        <v>81</v>
      </c>
      <c r="I65" s="50">
        <v>2769</v>
      </c>
    </row>
    <row r="66" customHeight="1" spans="1:9">
      <c r="A66" s="33">
        <v>21</v>
      </c>
      <c r="B66" s="37" t="s">
        <v>121</v>
      </c>
      <c r="C66" s="38"/>
      <c r="D66" s="39" t="s">
        <v>121</v>
      </c>
      <c r="E66" s="39" t="s">
        <v>41</v>
      </c>
      <c r="F66" s="40">
        <v>2.9</v>
      </c>
      <c r="G66" s="40">
        <v>3.2</v>
      </c>
      <c r="H66" s="41" t="s">
        <v>81</v>
      </c>
      <c r="I66" s="50">
        <v>1125</v>
      </c>
    </row>
    <row r="67" customHeight="1" spans="1:9">
      <c r="A67" s="33">
        <v>22</v>
      </c>
      <c r="B67" s="37" t="s">
        <v>122</v>
      </c>
      <c r="C67" s="38"/>
      <c r="D67" s="39" t="s">
        <v>122</v>
      </c>
      <c r="E67" s="39" t="s">
        <v>83</v>
      </c>
      <c r="F67" s="40">
        <v>7.6</v>
      </c>
      <c r="G67" s="40">
        <v>8.4</v>
      </c>
      <c r="H67" s="41" t="s">
        <v>93</v>
      </c>
      <c r="I67" s="50">
        <v>429</v>
      </c>
    </row>
    <row r="68" customHeight="1" spans="1:9">
      <c r="A68" s="33">
        <v>45</v>
      </c>
      <c r="B68" s="37" t="s">
        <v>123</v>
      </c>
      <c r="C68" s="38"/>
      <c r="D68" s="39" t="s">
        <v>124</v>
      </c>
      <c r="E68" s="39" t="s">
        <v>41</v>
      </c>
      <c r="F68" s="40">
        <v>8.1</v>
      </c>
      <c r="G68" s="40">
        <v>8.9</v>
      </c>
      <c r="H68" s="41" t="s">
        <v>81</v>
      </c>
      <c r="I68" s="50">
        <v>404</v>
      </c>
    </row>
    <row r="69" customHeight="1" spans="1:9">
      <c r="A69" s="33"/>
      <c r="B69" s="37" t="s">
        <v>125</v>
      </c>
      <c r="C69" s="38"/>
      <c r="D69" s="39" t="s">
        <v>125</v>
      </c>
      <c r="E69" s="39" t="s">
        <v>120</v>
      </c>
      <c r="F69" s="40">
        <v>1.3</v>
      </c>
      <c r="G69" s="40">
        <v>1.3</v>
      </c>
      <c r="H69" s="41" t="s">
        <v>81</v>
      </c>
      <c r="I69" s="50">
        <v>2769</v>
      </c>
    </row>
    <row r="70" customHeight="1" spans="1:9">
      <c r="A70" s="33">
        <v>46</v>
      </c>
      <c r="B70" s="37" t="s">
        <v>126</v>
      </c>
      <c r="C70" s="38"/>
      <c r="D70" s="39" t="s">
        <v>126</v>
      </c>
      <c r="E70" s="39" t="s">
        <v>41</v>
      </c>
      <c r="F70" s="40">
        <v>2.9</v>
      </c>
      <c r="G70" s="40">
        <v>3.2</v>
      </c>
      <c r="H70" s="41" t="s">
        <v>81</v>
      </c>
      <c r="I70" s="50">
        <v>1125</v>
      </c>
    </row>
    <row r="71" customHeight="1" spans="1:9">
      <c r="A71" s="33">
        <v>47</v>
      </c>
      <c r="B71" s="37" t="s">
        <v>127</v>
      </c>
      <c r="C71" s="38"/>
      <c r="D71" s="39" t="s">
        <v>127</v>
      </c>
      <c r="E71" s="39" t="s">
        <v>83</v>
      </c>
      <c r="F71" s="40">
        <v>10.8</v>
      </c>
      <c r="G71" s="40">
        <v>12</v>
      </c>
      <c r="H71" s="41" t="s">
        <v>93</v>
      </c>
      <c r="I71" s="50">
        <v>300</v>
      </c>
    </row>
    <row r="72" customHeight="1" spans="1:9">
      <c r="A72" s="33">
        <v>48</v>
      </c>
      <c r="B72" s="37" t="s">
        <v>128</v>
      </c>
      <c r="C72" s="38"/>
      <c r="D72" s="39" t="s">
        <v>129</v>
      </c>
      <c r="E72" s="39" t="s">
        <v>95</v>
      </c>
      <c r="F72" s="40">
        <v>39.9</v>
      </c>
      <c r="G72" s="40">
        <v>44.9</v>
      </c>
      <c r="H72" s="41" t="s">
        <v>84</v>
      </c>
      <c r="I72" s="50">
        <v>80</v>
      </c>
    </row>
    <row r="73" s="3" customFormat="1" ht="16" customHeight="1" spans="1:9">
      <c r="A73" s="33">
        <v>49</v>
      </c>
      <c r="B73" s="37" t="s">
        <v>130</v>
      </c>
      <c r="C73" s="38"/>
      <c r="D73" s="39" t="s">
        <v>131</v>
      </c>
      <c r="E73" s="39" t="s">
        <v>132</v>
      </c>
      <c r="F73" s="40">
        <v>38.3</v>
      </c>
      <c r="G73" s="40">
        <v>43.5</v>
      </c>
      <c r="H73" s="41" t="s">
        <v>84</v>
      </c>
      <c r="I73" s="50">
        <v>83</v>
      </c>
    </row>
    <row r="74" s="3" customFormat="1" ht="16" customHeight="1" spans="1:9">
      <c r="A74" s="46">
        <v>68</v>
      </c>
      <c r="B74" s="47" t="s">
        <v>133</v>
      </c>
      <c r="C74" s="38"/>
      <c r="D74" s="48" t="s">
        <v>134</v>
      </c>
      <c r="E74" s="48" t="s">
        <v>41</v>
      </c>
      <c r="F74" s="49">
        <v>9.4</v>
      </c>
      <c r="G74" s="49">
        <v>10.3</v>
      </c>
      <c r="H74" s="46" t="s">
        <v>81</v>
      </c>
      <c r="I74" s="52">
        <v>350</v>
      </c>
    </row>
    <row r="75" customHeight="1" spans="1:9">
      <c r="A75" s="33">
        <v>50</v>
      </c>
      <c r="B75" s="37" t="s">
        <v>135</v>
      </c>
      <c r="C75" s="38"/>
      <c r="D75" s="39" t="s">
        <v>136</v>
      </c>
      <c r="E75" s="39" t="s">
        <v>83</v>
      </c>
      <c r="F75" s="40">
        <v>64.9</v>
      </c>
      <c r="G75" s="40">
        <v>73.3</v>
      </c>
      <c r="H75" s="41" t="s">
        <v>137</v>
      </c>
      <c r="I75" s="50">
        <v>49</v>
      </c>
    </row>
    <row r="76" customHeight="1" spans="1:9">
      <c r="A76" s="33">
        <v>51</v>
      </c>
      <c r="B76" s="37" t="s">
        <v>138</v>
      </c>
      <c r="C76" s="38"/>
      <c r="D76" s="39" t="s">
        <v>139</v>
      </c>
      <c r="E76" s="39" t="s">
        <v>78</v>
      </c>
      <c r="F76" s="40">
        <v>80.3</v>
      </c>
      <c r="G76" s="40">
        <v>91.9</v>
      </c>
      <c r="H76" s="41" t="s">
        <v>79</v>
      </c>
      <c r="I76" s="50">
        <v>39</v>
      </c>
    </row>
    <row r="77" customHeight="1" spans="1:9">
      <c r="A77" s="33">
        <v>52</v>
      </c>
      <c r="B77" s="37" t="s">
        <v>82</v>
      </c>
      <c r="C77" s="38"/>
      <c r="D77" s="39" t="s">
        <v>82</v>
      </c>
      <c r="E77" s="39" t="s">
        <v>83</v>
      </c>
      <c r="F77" s="40">
        <v>23.9</v>
      </c>
      <c r="G77" s="40">
        <v>26.9</v>
      </c>
      <c r="H77" s="41" t="s">
        <v>144</v>
      </c>
      <c r="I77" s="50">
        <v>134</v>
      </c>
    </row>
    <row r="78" customHeight="1" spans="1:10">
      <c r="A78" s="54">
        <v>70</v>
      </c>
      <c r="B78" s="55" t="s">
        <v>140</v>
      </c>
      <c r="C78" s="56"/>
      <c r="D78" s="56" t="s">
        <v>140</v>
      </c>
      <c r="E78" s="56" t="s">
        <v>41</v>
      </c>
      <c r="F78" s="57"/>
      <c r="G78" s="57"/>
      <c r="H78" s="54"/>
      <c r="I78" s="72"/>
      <c r="J78" s="73" t="s">
        <v>141</v>
      </c>
    </row>
    <row r="79" customHeight="1" spans="1:10">
      <c r="A79" s="54">
        <v>71</v>
      </c>
      <c r="B79" s="55" t="s">
        <v>142</v>
      </c>
      <c r="C79" s="56"/>
      <c r="D79" s="56" t="s">
        <v>142</v>
      </c>
      <c r="E79" s="56" t="s">
        <v>83</v>
      </c>
      <c r="F79" s="57"/>
      <c r="G79" s="57"/>
      <c r="H79" s="54"/>
      <c r="I79" s="72"/>
      <c r="J79" s="73"/>
    </row>
    <row r="80" customHeight="1" spans="1:10">
      <c r="A80" s="54">
        <v>72</v>
      </c>
      <c r="B80" s="55" t="s">
        <v>143</v>
      </c>
      <c r="C80" s="56"/>
      <c r="D80" s="56" t="s">
        <v>143</v>
      </c>
      <c r="E80" s="56" t="s">
        <v>83</v>
      </c>
      <c r="F80" s="57"/>
      <c r="G80" s="57"/>
      <c r="H80" s="54"/>
      <c r="I80" s="72"/>
      <c r="J80" s="73"/>
    </row>
    <row r="81" customHeight="1" spans="1:9">
      <c r="A81" s="33">
        <v>53</v>
      </c>
      <c r="B81" s="37" t="s">
        <v>145</v>
      </c>
      <c r="C81" s="38"/>
      <c r="D81" s="39" t="s">
        <v>145</v>
      </c>
      <c r="E81" s="39" t="s">
        <v>95</v>
      </c>
      <c r="F81" s="40">
        <v>13.9</v>
      </c>
      <c r="G81" s="40">
        <v>15.5</v>
      </c>
      <c r="H81" s="41" t="s">
        <v>84</v>
      </c>
      <c r="I81" s="50">
        <v>232</v>
      </c>
    </row>
    <row r="82" customHeight="1" spans="1:9">
      <c r="A82" s="33">
        <v>55</v>
      </c>
      <c r="B82" s="37" t="s">
        <v>146</v>
      </c>
      <c r="C82" s="38"/>
      <c r="D82" s="39" t="s">
        <v>146</v>
      </c>
      <c r="E82" s="39" t="s">
        <v>132</v>
      </c>
      <c r="F82" s="40">
        <v>10.9</v>
      </c>
      <c r="G82" s="40">
        <v>12.3</v>
      </c>
      <c r="H82" s="41" t="s">
        <v>84</v>
      </c>
      <c r="I82" s="50">
        <v>293</v>
      </c>
    </row>
    <row r="83" customHeight="1" spans="1:9">
      <c r="A83" s="33">
        <v>56</v>
      </c>
      <c r="B83" s="37" t="s">
        <v>147</v>
      </c>
      <c r="C83" s="38"/>
      <c r="D83" s="39" t="s">
        <v>148</v>
      </c>
      <c r="E83" s="39" t="s">
        <v>95</v>
      </c>
      <c r="F83" s="40">
        <v>15.6</v>
      </c>
      <c r="G83" s="40">
        <v>17.3</v>
      </c>
      <c r="H83" s="41" t="s">
        <v>84</v>
      </c>
      <c r="I83" s="50">
        <v>208</v>
      </c>
    </row>
    <row r="84" customHeight="1" spans="1:9">
      <c r="A84" s="33">
        <v>57</v>
      </c>
      <c r="B84" s="37" t="s">
        <v>149</v>
      </c>
      <c r="C84" s="38"/>
      <c r="D84" s="39" t="s">
        <v>149</v>
      </c>
      <c r="E84" s="39" t="s">
        <v>132</v>
      </c>
      <c r="F84" s="40">
        <v>12.7</v>
      </c>
      <c r="G84" s="40">
        <v>14.3</v>
      </c>
      <c r="H84" s="41" t="s">
        <v>84</v>
      </c>
      <c r="I84" s="50">
        <v>252</v>
      </c>
    </row>
    <row r="85" customHeight="1" spans="1:9">
      <c r="A85" s="33">
        <v>58</v>
      </c>
      <c r="B85" s="37" t="s">
        <v>150</v>
      </c>
      <c r="C85" s="38"/>
      <c r="D85" s="39" t="s">
        <v>150</v>
      </c>
      <c r="E85" s="39" t="s">
        <v>95</v>
      </c>
      <c r="F85" s="40">
        <v>33.4</v>
      </c>
      <c r="G85" s="40">
        <v>37.6</v>
      </c>
      <c r="H85" s="41" t="s">
        <v>84</v>
      </c>
      <c r="I85" s="50">
        <v>96</v>
      </c>
    </row>
    <row r="86" customHeight="1" spans="1:9">
      <c r="A86" s="33">
        <v>59</v>
      </c>
      <c r="B86" s="37" t="s">
        <v>151</v>
      </c>
      <c r="C86" s="38"/>
      <c r="D86" s="39" t="s">
        <v>152</v>
      </c>
      <c r="E86" s="39" t="s">
        <v>153</v>
      </c>
      <c r="F86" s="40">
        <v>42.9</v>
      </c>
      <c r="G86" s="40">
        <v>48.4</v>
      </c>
      <c r="H86" s="41" t="s">
        <v>137</v>
      </c>
      <c r="I86" s="50">
        <v>74</v>
      </c>
    </row>
    <row r="87" customHeight="1" spans="1:9">
      <c r="A87" s="33">
        <v>60</v>
      </c>
      <c r="B87" s="37" t="s">
        <v>154</v>
      </c>
      <c r="C87" s="38"/>
      <c r="D87" s="39" t="s">
        <v>155</v>
      </c>
      <c r="E87" s="39" t="s">
        <v>95</v>
      </c>
      <c r="F87" s="40">
        <v>30.9</v>
      </c>
      <c r="G87" s="40">
        <v>34.5</v>
      </c>
      <c r="H87" s="41" t="s">
        <v>144</v>
      </c>
      <c r="I87" s="50">
        <v>104</v>
      </c>
    </row>
    <row r="88" customHeight="1" spans="1:9">
      <c r="A88" s="33">
        <v>61</v>
      </c>
      <c r="B88" s="37" t="s">
        <v>156</v>
      </c>
      <c r="C88" s="38"/>
      <c r="D88" s="39" t="s">
        <v>157</v>
      </c>
      <c r="E88" s="39" t="s">
        <v>83</v>
      </c>
      <c r="F88" s="40">
        <v>15.5</v>
      </c>
      <c r="G88" s="40">
        <v>17.2</v>
      </c>
      <c r="H88" s="41" t="s">
        <v>79</v>
      </c>
      <c r="I88" s="50">
        <v>209</v>
      </c>
    </row>
    <row r="89" customHeight="1" spans="1:9">
      <c r="A89" s="33">
        <v>62</v>
      </c>
      <c r="B89" s="37" t="s">
        <v>158</v>
      </c>
      <c r="C89" s="38"/>
      <c r="D89" s="39" t="s">
        <v>158</v>
      </c>
      <c r="E89" s="39" t="s">
        <v>41</v>
      </c>
      <c r="F89" s="40">
        <v>9.4</v>
      </c>
      <c r="G89" s="40">
        <v>10.3</v>
      </c>
      <c r="H89" s="41" t="s">
        <v>81</v>
      </c>
      <c r="I89" s="50">
        <v>350</v>
      </c>
    </row>
    <row r="90" customHeight="1" spans="1:9">
      <c r="A90" s="33">
        <v>63</v>
      </c>
      <c r="B90" s="37" t="s">
        <v>159</v>
      </c>
      <c r="C90" s="38"/>
      <c r="D90" s="39" t="s">
        <v>160</v>
      </c>
      <c r="E90" s="39" t="s">
        <v>83</v>
      </c>
      <c r="F90" s="40">
        <v>16.7</v>
      </c>
      <c r="G90" s="40">
        <v>18.8</v>
      </c>
      <c r="H90" s="41" t="s">
        <v>39</v>
      </c>
      <c r="I90" s="50">
        <v>191</v>
      </c>
    </row>
    <row r="91" customHeight="1" spans="1:9">
      <c r="A91" s="33">
        <v>64</v>
      </c>
      <c r="B91" s="37" t="s">
        <v>161</v>
      </c>
      <c r="C91" s="38"/>
      <c r="D91" s="39" t="s">
        <v>162</v>
      </c>
      <c r="E91" s="39" t="s">
        <v>132</v>
      </c>
      <c r="F91" s="40">
        <v>28.8</v>
      </c>
      <c r="G91" s="40">
        <v>32.5</v>
      </c>
      <c r="H91" s="41" t="s">
        <v>163</v>
      </c>
      <c r="I91" s="50">
        <v>111</v>
      </c>
    </row>
    <row r="92" customHeight="1" spans="1:9">
      <c r="A92" s="33">
        <v>65</v>
      </c>
      <c r="B92" s="37" t="s">
        <v>164</v>
      </c>
      <c r="C92" s="38"/>
      <c r="D92" s="39" t="s">
        <v>164</v>
      </c>
      <c r="E92" s="39" t="s">
        <v>83</v>
      </c>
      <c r="F92" s="40">
        <v>31.3</v>
      </c>
      <c r="G92" s="40">
        <v>35.6</v>
      </c>
      <c r="H92" s="41" t="s">
        <v>79</v>
      </c>
      <c r="I92" s="50">
        <v>101</v>
      </c>
    </row>
    <row r="93" spans="1:9">
      <c r="A93" s="33">
        <v>66</v>
      </c>
      <c r="B93" s="37" t="s">
        <v>165</v>
      </c>
      <c r="C93" s="38"/>
      <c r="D93" s="39" t="s">
        <v>166</v>
      </c>
      <c r="E93" s="39" t="s">
        <v>83</v>
      </c>
      <c r="F93" s="40">
        <v>37.6</v>
      </c>
      <c r="G93" s="40">
        <v>42.5</v>
      </c>
      <c r="H93" s="41" t="s">
        <v>137</v>
      </c>
      <c r="I93" s="50">
        <v>85</v>
      </c>
    </row>
    <row r="94" s="4" customFormat="1" spans="1:9">
      <c r="A94" s="33">
        <v>120</v>
      </c>
      <c r="B94" s="37" t="s">
        <v>167</v>
      </c>
      <c r="C94" s="38"/>
      <c r="D94" s="36" t="s">
        <v>167</v>
      </c>
      <c r="E94" s="36" t="s">
        <v>168</v>
      </c>
      <c r="F94" s="36">
        <v>36</v>
      </c>
      <c r="G94" s="36">
        <v>39.8</v>
      </c>
      <c r="H94" s="36" t="s">
        <v>118</v>
      </c>
      <c r="I94" s="36">
        <v>90</v>
      </c>
    </row>
    <row r="95" spans="1:10">
      <c r="A95" s="33"/>
      <c r="B95" s="58" t="s">
        <v>169</v>
      </c>
      <c r="C95" s="20"/>
      <c r="D95" s="59" t="s">
        <v>169</v>
      </c>
      <c r="E95" s="59"/>
      <c r="F95" s="59"/>
      <c r="G95" s="59"/>
      <c r="H95" s="59"/>
      <c r="I95" s="59"/>
      <c r="J95" s="9" t="s">
        <v>194</v>
      </c>
    </row>
    <row r="96" spans="1:9">
      <c r="A96" s="33">
        <v>90</v>
      </c>
      <c r="B96" s="58" t="s">
        <v>170</v>
      </c>
      <c r="C96" s="20">
        <v>78</v>
      </c>
      <c r="D96" s="59" t="s">
        <v>170</v>
      </c>
      <c r="E96" s="59" t="s">
        <v>41</v>
      </c>
      <c r="F96" s="59">
        <v>35.1</v>
      </c>
      <c r="G96" s="59">
        <v>38.7</v>
      </c>
      <c r="H96" s="59" t="s">
        <v>81</v>
      </c>
      <c r="I96" s="59">
        <v>93</v>
      </c>
    </row>
    <row r="97" spans="1:9">
      <c r="A97" s="33">
        <v>35</v>
      </c>
      <c r="B97" s="58" t="s">
        <v>171</v>
      </c>
      <c r="C97" s="60">
        <v>61</v>
      </c>
      <c r="D97" s="36" t="s">
        <v>171</v>
      </c>
      <c r="E97" s="36" t="s">
        <v>172</v>
      </c>
      <c r="F97" s="36">
        <v>53.3</v>
      </c>
      <c r="G97" s="36">
        <v>58.9</v>
      </c>
      <c r="H97" s="36" t="s">
        <v>61</v>
      </c>
      <c r="I97" s="36">
        <v>61</v>
      </c>
    </row>
    <row r="98" spans="1:9">
      <c r="A98" s="33">
        <v>83</v>
      </c>
      <c r="B98" s="58" t="s">
        <v>173</v>
      </c>
      <c r="C98" s="60">
        <v>79</v>
      </c>
      <c r="D98" s="61" t="s">
        <v>195</v>
      </c>
      <c r="E98" s="61" t="s">
        <v>83</v>
      </c>
      <c r="F98" s="61">
        <v>5.8</v>
      </c>
      <c r="G98" s="61">
        <v>6.5</v>
      </c>
      <c r="H98" s="61" t="s">
        <v>39</v>
      </c>
      <c r="I98" s="61">
        <v>554</v>
      </c>
    </row>
    <row r="99" spans="1:9">
      <c r="A99" s="33"/>
      <c r="B99" s="58" t="s">
        <v>175</v>
      </c>
      <c r="C99" s="20"/>
      <c r="D99" s="36" t="s">
        <v>175</v>
      </c>
      <c r="E99" s="36"/>
      <c r="F99" s="36"/>
      <c r="G99" s="36">
        <f>SUM(G96:G98)</f>
        <v>104.1</v>
      </c>
      <c r="H99" s="36"/>
      <c r="I99" s="36"/>
    </row>
    <row r="100" spans="1:9">
      <c r="A100" s="33">
        <v>102</v>
      </c>
      <c r="B100" s="58" t="s">
        <v>176</v>
      </c>
      <c r="C100" s="20"/>
      <c r="D100" s="36" t="s">
        <v>176</v>
      </c>
      <c r="E100" s="36" t="s">
        <v>41</v>
      </c>
      <c r="F100" s="36">
        <v>3.8</v>
      </c>
      <c r="G100" s="36">
        <v>4.2</v>
      </c>
      <c r="H100" s="36" t="s">
        <v>81</v>
      </c>
      <c r="I100" s="36">
        <v>857</v>
      </c>
    </row>
    <row r="101" s="5" customFormat="1" spans="1:9">
      <c r="A101" s="42">
        <v>103</v>
      </c>
      <c r="B101" s="62" t="s">
        <v>177</v>
      </c>
      <c r="C101" s="63">
        <v>62</v>
      </c>
      <c r="D101" s="64" t="s">
        <v>196</v>
      </c>
      <c r="E101" s="64" t="s">
        <v>179</v>
      </c>
      <c r="F101" s="64">
        <v>43.2</v>
      </c>
      <c r="G101" s="64">
        <v>48.6</v>
      </c>
      <c r="H101" s="64" t="s">
        <v>137</v>
      </c>
      <c r="I101" s="64">
        <v>74</v>
      </c>
    </row>
    <row r="102" s="5" customFormat="1" spans="1:9">
      <c r="A102" s="42">
        <v>105</v>
      </c>
      <c r="B102" s="62" t="s">
        <v>180</v>
      </c>
      <c r="C102" s="63">
        <v>63</v>
      </c>
      <c r="D102" s="64" t="s">
        <v>197</v>
      </c>
      <c r="E102" s="64" t="s">
        <v>41</v>
      </c>
      <c r="F102" s="64">
        <v>43.2</v>
      </c>
      <c r="G102" s="64">
        <v>47.7</v>
      </c>
      <c r="H102" s="64" t="s">
        <v>61</v>
      </c>
      <c r="I102" s="64">
        <v>75</v>
      </c>
    </row>
    <row r="103" s="5" customFormat="1" spans="1:9">
      <c r="A103" s="42"/>
      <c r="B103" s="62" t="s">
        <v>182</v>
      </c>
      <c r="C103" s="63">
        <v>64</v>
      </c>
      <c r="D103" s="64" t="s">
        <v>182</v>
      </c>
      <c r="E103" s="64" t="s">
        <v>41</v>
      </c>
      <c r="F103" s="64">
        <v>5.9</v>
      </c>
      <c r="G103" s="64">
        <v>6.5</v>
      </c>
      <c r="H103" s="64" t="s">
        <v>81</v>
      </c>
      <c r="I103" s="64">
        <v>554</v>
      </c>
    </row>
    <row r="104" spans="1:9">
      <c r="A104" s="33"/>
      <c r="B104" s="58" t="s">
        <v>183</v>
      </c>
      <c r="C104" s="20"/>
      <c r="D104" s="36" t="s">
        <v>183</v>
      </c>
      <c r="E104" s="36" t="s">
        <v>41</v>
      </c>
      <c r="F104" s="36">
        <v>3</v>
      </c>
      <c r="G104" s="36">
        <v>3.3</v>
      </c>
      <c r="H104" s="36" t="s">
        <v>81</v>
      </c>
      <c r="I104" s="36">
        <v>1091</v>
      </c>
    </row>
    <row r="105" spans="1:9">
      <c r="A105" s="65">
        <v>190</v>
      </c>
      <c r="B105" s="66" t="s">
        <v>198</v>
      </c>
      <c r="C105" s="67">
        <v>84</v>
      </c>
      <c r="D105" s="68" t="s">
        <v>199</v>
      </c>
      <c r="E105" s="68" t="s">
        <v>41</v>
      </c>
      <c r="F105" s="68">
        <v>2.9</v>
      </c>
      <c r="G105" s="68">
        <v>3.2</v>
      </c>
      <c r="H105" s="68" t="s">
        <v>81</v>
      </c>
      <c r="I105" s="68">
        <v>1125</v>
      </c>
    </row>
    <row r="106" spans="1:9">
      <c r="A106" s="33">
        <v>121</v>
      </c>
      <c r="B106" s="58" t="s">
        <v>200</v>
      </c>
      <c r="C106" s="20">
        <v>82</v>
      </c>
      <c r="D106" s="36" t="s">
        <v>201</v>
      </c>
      <c r="E106" s="36" t="s">
        <v>41</v>
      </c>
      <c r="F106" s="36">
        <v>12.6</v>
      </c>
      <c r="G106" s="36">
        <v>13.9</v>
      </c>
      <c r="H106" s="36" t="s">
        <v>81</v>
      </c>
      <c r="I106" s="36">
        <v>259</v>
      </c>
    </row>
    <row r="107" spans="1:9">
      <c r="A107" s="33">
        <v>40</v>
      </c>
      <c r="B107" s="58" t="s">
        <v>202</v>
      </c>
      <c r="C107" s="20">
        <v>83</v>
      </c>
      <c r="D107" s="36" t="s">
        <v>203</v>
      </c>
      <c r="E107" s="36" t="s">
        <v>41</v>
      </c>
      <c r="F107" s="36">
        <v>5.7</v>
      </c>
      <c r="G107" s="36">
        <v>6.3</v>
      </c>
      <c r="H107" s="36" t="s">
        <v>33</v>
      </c>
      <c r="I107" s="36">
        <v>571</v>
      </c>
    </row>
    <row r="108" spans="1:9">
      <c r="A108" s="33">
        <v>172</v>
      </c>
      <c r="B108" s="58" t="s">
        <v>184</v>
      </c>
      <c r="C108" s="20"/>
      <c r="D108" s="36" t="s">
        <v>184</v>
      </c>
      <c r="E108" s="36" t="s">
        <v>41</v>
      </c>
      <c r="F108" s="36">
        <v>3.8</v>
      </c>
      <c r="G108" s="36">
        <v>4.2</v>
      </c>
      <c r="H108" s="36" t="s">
        <v>81</v>
      </c>
      <c r="I108" s="36">
        <v>857</v>
      </c>
    </row>
    <row r="109" spans="1:9">
      <c r="A109" s="33">
        <v>108</v>
      </c>
      <c r="B109" s="58" t="s">
        <v>185</v>
      </c>
      <c r="C109" s="20">
        <v>67</v>
      </c>
      <c r="D109" s="36" t="s">
        <v>204</v>
      </c>
      <c r="E109" s="36" t="s">
        <v>205</v>
      </c>
      <c r="F109" s="36">
        <v>10.1</v>
      </c>
      <c r="G109" s="36">
        <v>11.1</v>
      </c>
      <c r="H109" s="36" t="s">
        <v>33</v>
      </c>
      <c r="I109" s="36">
        <v>324</v>
      </c>
    </row>
    <row r="110" spans="1:9">
      <c r="A110" s="33">
        <v>107</v>
      </c>
      <c r="B110" s="58" t="s">
        <v>187</v>
      </c>
      <c r="C110" s="20"/>
      <c r="D110" s="36" t="s">
        <v>187</v>
      </c>
      <c r="E110" s="36" t="s">
        <v>41</v>
      </c>
      <c r="F110" s="36">
        <v>8.8</v>
      </c>
      <c r="G110" s="36">
        <v>9.7</v>
      </c>
      <c r="H110" s="36" t="s">
        <v>81</v>
      </c>
      <c r="I110" s="36">
        <v>371</v>
      </c>
    </row>
    <row r="111" spans="1:9">
      <c r="A111" s="33">
        <v>154</v>
      </c>
      <c r="B111" s="58" t="s">
        <v>188</v>
      </c>
      <c r="C111" s="20"/>
      <c r="D111" s="36" t="s">
        <v>188</v>
      </c>
      <c r="E111" s="36" t="s">
        <v>41</v>
      </c>
      <c r="F111" s="36">
        <v>17.6</v>
      </c>
      <c r="G111" s="36">
        <v>19.4</v>
      </c>
      <c r="H111" s="36" t="s">
        <v>81</v>
      </c>
      <c r="I111" s="36">
        <v>186</v>
      </c>
    </row>
    <row r="112" spans="1:9">
      <c r="A112" s="33">
        <v>140</v>
      </c>
      <c r="B112" s="58" t="s">
        <v>189</v>
      </c>
      <c r="C112" s="20"/>
      <c r="D112" s="36" t="s">
        <v>189</v>
      </c>
      <c r="E112" s="36" t="s">
        <v>41</v>
      </c>
      <c r="F112" s="36">
        <v>3</v>
      </c>
      <c r="G112" s="36">
        <v>3.3</v>
      </c>
      <c r="H112" s="36" t="s">
        <v>81</v>
      </c>
      <c r="I112" s="36">
        <v>1091</v>
      </c>
    </row>
    <row r="113" spans="1:9">
      <c r="A113" s="33">
        <v>152</v>
      </c>
      <c r="B113" s="58" t="s">
        <v>190</v>
      </c>
      <c r="C113" s="20"/>
      <c r="D113" s="36" t="s">
        <v>190</v>
      </c>
      <c r="E113" s="36" t="s">
        <v>41</v>
      </c>
      <c r="F113" s="36">
        <v>1.4</v>
      </c>
      <c r="G113" s="36">
        <v>1.6</v>
      </c>
      <c r="H113" s="36" t="s">
        <v>81</v>
      </c>
      <c r="I113" s="36">
        <v>2250</v>
      </c>
    </row>
    <row r="114" s="6" customFormat="1" ht="35" customHeight="1" spans="1:9">
      <c r="A114" s="69">
        <v>131</v>
      </c>
      <c r="B114" s="58" t="s">
        <v>206</v>
      </c>
      <c r="C114" s="70"/>
      <c r="D114" s="71" t="s">
        <v>207</v>
      </c>
      <c r="E114" s="71" t="s">
        <v>41</v>
      </c>
      <c r="F114" s="71">
        <v>10.8</v>
      </c>
      <c r="G114" s="71">
        <v>11.9</v>
      </c>
      <c r="H114" s="71" t="s">
        <v>81</v>
      </c>
      <c r="I114" s="71">
        <v>303</v>
      </c>
    </row>
    <row r="115" spans="1:9">
      <c r="A115" s="33">
        <v>169</v>
      </c>
      <c r="B115" s="58" t="s">
        <v>192</v>
      </c>
      <c r="C115" s="20"/>
      <c r="D115" s="36" t="s">
        <v>192</v>
      </c>
      <c r="E115" s="36" t="s">
        <v>41</v>
      </c>
      <c r="F115" s="36">
        <v>0.9</v>
      </c>
      <c r="G115" s="36">
        <v>1</v>
      </c>
      <c r="H115" s="36" t="s">
        <v>81</v>
      </c>
      <c r="I115" s="36">
        <v>3600</v>
      </c>
    </row>
    <row r="116" s="7" customFormat="1" spans="1:9">
      <c r="A116" s="15" t="s">
        <v>193</v>
      </c>
      <c r="B116" s="15"/>
      <c r="C116" s="15"/>
      <c r="D116" s="15"/>
      <c r="E116" s="15"/>
      <c r="F116" s="15"/>
      <c r="G116" s="15">
        <f>SUM(G100:G115)</f>
        <v>195.9</v>
      </c>
      <c r="H116" s="15"/>
      <c r="I116" s="15"/>
    </row>
  </sheetData>
  <mergeCells count="21">
    <mergeCell ref="A1:I1"/>
    <mergeCell ref="A2:I2"/>
    <mergeCell ref="A3:I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J78:J80"/>
    <mergeCell ref="G4:I19"/>
  </mergeCells>
  <conditionalFormatting sqref="A21:A115">
    <cfRule type="expression" dxfId="1" priority="3">
      <formula>AND(SUMPRODUCT(IFERROR(1*(($A$21:$A$115&amp;"x")=(A21&amp;"x")),0))&gt;1,NOT(ISBLANK(A21)))</formula>
    </cfRule>
  </conditionalFormatting>
  <conditionalFormatting sqref="A1:A20 A116:A1048576">
    <cfRule type="duplicateValues" dxfId="0" priority="2"/>
  </conditionalFormatting>
  <conditionalFormatting sqref="D1:D77 D81:D1048576">
    <cfRule type="duplicateValues" dxfId="0" priority="1"/>
  </conditionalFormatting>
  <printOptions horizontalCentered="1"/>
  <pageMargins left="0.0784722222222222" right="0.0784722222222222" top="0.397222222222222" bottom="0.397222222222222" header="0.196527777777778" footer="0.196527777777778"/>
  <pageSetup paperSize="9" scale="49" orientation="portrait" horizontalDpi="600"/>
  <headerFooter>
    <oddFooter>&amp;R&amp;D &amp;T</oddFooter>
  </headerFooter>
  <rowBreaks count="1" manualBreakCount="1">
    <brk id="94" max="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76Z0001</vt:lpstr>
      <vt:lpstr>76Z0001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ღ᭄秀秀໑ຼ₀₂₃</cp:lastModifiedBy>
  <dcterms:created xsi:type="dcterms:W3CDTF">2024-07-12T00:41:00Z</dcterms:created>
  <dcterms:modified xsi:type="dcterms:W3CDTF">2025-09-15T08:13:51Z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0A786B394F1C4DF898279F4722393232_13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