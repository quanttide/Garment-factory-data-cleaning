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AV10281" sheetId="1" r:id="rId1"/>
    <sheet name="Sheet1" sheetId="2" r:id="rId2"/>
    <sheet name="Sheet2" sheetId="3" r:id="rId3"/>
    <sheet name="Sheet3" sheetId="4" r:id="rId4"/>
  </sheets>
  <definedNames>
    <definedName name="_xlnm._FilterDatabase" localSheetId="1" hidden="1">Sheet1!$A$1:$N$102</definedName>
    <definedName name="_xlnm._FilterDatabase" localSheetId="2" hidden="1">Sheet2!$A$1:$N$404</definedName>
    <definedName name="_xlnm.Print_Titles" localSheetId="0">'AAV10281'!$1:$11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<sst xmlns="http://schemas.openxmlformats.org/spreadsheetml/2006/main" count="3739" uniqueCount="392">
  <si>
    <t>重庆尚上服饰有限公司</t>
  </si>
  <si>
    <t>款式工序表</t>
  </si>
  <si>
    <t>打印日期：2025-08-23 11:36:43</t>
  </si>
  <si>
    <t>生产制单号：</t>
  </si>
  <si>
    <t>AAV10281</t>
  </si>
  <si>
    <t>客　　户：</t>
  </si>
  <si>
    <t>鹿岛</t>
  </si>
  <si>
    <t>客户款号：</t>
  </si>
  <si>
    <t>款式描述：</t>
  </si>
  <si>
    <t>梭织长裤，斜插袋、贴风琴肶袋、平角袋盖，左右后机头，本布腰、多针包橡筋，穿腰绳</t>
  </si>
  <si>
    <t>品质标准：</t>
  </si>
  <si>
    <t>数　　量：</t>
  </si>
  <si>
    <t>车缝时间：</t>
  </si>
  <si>
    <t>车缝10.5H台产：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</si>
  <si>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</si>
  <si>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</si>
  <si>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</si>
  <si>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</si>
  <si>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</si>
  <si>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</si>
  <si>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</si>
  <si>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</si>
  <si>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QLY-钱玲燕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</si>
  <si>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</si>
  <si>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</si>
  <si>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</si>
  <si>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</si>
  <si>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</si>
  <si>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</si>
  <si>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</si>
  <si>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</si>
  <si>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松面布</t>
  </si>
  <si>
    <t>松布机松面布*1.4794</t>
  </si>
  <si>
    <t>松布机</t>
  </si>
  <si>
    <t>E2</t>
  </si>
  <si>
    <t>拉面布</t>
  </si>
  <si>
    <t>拉布机拉面布*1.4794</t>
  </si>
  <si>
    <t>拉布机</t>
  </si>
  <si>
    <t>E3</t>
  </si>
  <si>
    <t>裁面布</t>
  </si>
  <si>
    <t>手工裁剪面布*13</t>
  </si>
  <si>
    <t>电剪刀</t>
  </si>
  <si>
    <t>D4</t>
  </si>
  <si>
    <t>面布分包</t>
  </si>
  <si>
    <t>手工面布分包*13</t>
  </si>
  <si>
    <t>手工</t>
  </si>
  <si>
    <t>打编号</t>
  </si>
  <si>
    <t>手工打编号*13</t>
  </si>
  <si>
    <t>面布验片</t>
  </si>
  <si>
    <t>手工面布验片*9</t>
  </si>
  <si>
    <t>拉袋布</t>
  </si>
  <si>
    <t>拉布机拉袋布*0.0813</t>
  </si>
  <si>
    <t>裁袋布</t>
  </si>
  <si>
    <t>电脑裁剪袋布*2</t>
  </si>
  <si>
    <t>电脑裁床</t>
  </si>
  <si>
    <t>袋布分包</t>
  </si>
  <si>
    <t>手工袋布分包*2（大包）</t>
  </si>
  <si>
    <t>拉衬布</t>
  </si>
  <si>
    <t>拉衬布*0.0565</t>
  </si>
  <si>
    <t>裁剪衬布</t>
  </si>
  <si>
    <t>裁剪衬布*2</t>
  </si>
  <si>
    <t>衬布分包</t>
  </si>
  <si>
    <t>衬布分包*2（大包）</t>
  </si>
  <si>
    <t>E1</t>
  </si>
  <si>
    <t>中烫烫袋盖衬*2</t>
  </si>
  <si>
    <t>中烫（气烫）</t>
  </si>
  <si>
    <t>切脚口车侧缝挂耳捆条</t>
  </si>
  <si>
    <t>切脚口车侧缝挂耳捆条*0.005</t>
  </si>
  <si>
    <t>切捆条机</t>
  </si>
  <si>
    <t>下裁片</t>
  </si>
  <si>
    <t>2-腰头</t>
  </si>
  <si>
    <t>缩水腰头橡筋、脚口橡筋绳/米</t>
  </si>
  <si>
    <t>蒸箱</t>
  </si>
  <si>
    <t>量剪腰宽橡筋</t>
  </si>
  <si>
    <t>量剪腰宽橡筋*1</t>
  </si>
  <si>
    <t>拼接腰头橡筋</t>
  </si>
  <si>
    <t>拼接腰头橡筋*1</t>
  </si>
  <si>
    <t>电脑平车</t>
  </si>
  <si>
    <t>量剪热切脚口橡筋绳及回</t>
  </si>
  <si>
    <t>量剪热切脚口橡筋绳及回*2（熏两端 车台定位）</t>
  </si>
  <si>
    <t>平车带筒拉脚口挂耳</t>
  </si>
  <si>
    <t>平车带筒拉脚口挂耳*1</t>
  </si>
  <si>
    <t>D2</t>
  </si>
  <si>
    <t>手工量剪脚口挂耳</t>
  </si>
  <si>
    <t>手工量剪脚口挂耳*2（短）</t>
  </si>
  <si>
    <t>手工点橡筋中位</t>
  </si>
  <si>
    <t>手工点橡筋中位*1（带着做）</t>
  </si>
  <si>
    <t>半成品开面腰直眼</t>
  </si>
  <si>
    <t>半成品开面腰直眼*2（车台定位）</t>
  </si>
  <si>
    <t>电脑单头平眼车</t>
  </si>
  <si>
    <t>E4</t>
  </si>
  <si>
    <t>平车拼接面腰后中缝</t>
  </si>
  <si>
    <t>平车拼接面腰后中缝*1</t>
  </si>
  <si>
    <t>平车开骨落橡筋包固腰头位</t>
  </si>
  <si>
    <t>平车开骨落橡筋包固腰头位*2*1(针脚调稀）</t>
  </si>
  <si>
    <t>C2</t>
  </si>
  <si>
    <t>多针橡筋车上架冚腰头多线</t>
  </si>
  <si>
    <t>多针橡筋车上架冚腰头多线*1</t>
  </si>
  <si>
    <t>多针橡筋车</t>
  </si>
  <si>
    <t>C4</t>
  </si>
  <si>
    <t>手工点腰头位</t>
  </si>
  <si>
    <t>手工点腰头位*3(套起做）</t>
  </si>
  <si>
    <t>拆腰头橡筋固定线</t>
  </si>
  <si>
    <t>拆腰头橡筋固定线*2</t>
  </si>
  <si>
    <t>3-口袋</t>
  </si>
  <si>
    <t>平车运肶袋盖两边暗线</t>
  </si>
  <si>
    <t>平车运肶袋盖两边暗线2*2（车台定位）</t>
  </si>
  <si>
    <t>C1</t>
  </si>
  <si>
    <t>手工翻两角袋盖（修一边止口）</t>
  </si>
  <si>
    <t>手工翻两角袋盖*2（修一边止口）</t>
  </si>
  <si>
    <t>平车压肶袋盖三边明线</t>
  </si>
  <si>
    <t>平车压肶袋盖三边明线*2(一片式袋盖）</t>
  </si>
  <si>
    <t>带线刀车车肶袋盖净样线</t>
  </si>
  <si>
    <t>带线刀车车肶袋盖净样线*2（车台定位）</t>
  </si>
  <si>
    <t>电脑单针切刀车</t>
  </si>
  <si>
    <t>实样折烫肶袋口连折烫三边风琴边、袋止口并画袋角省位2个*2</t>
  </si>
  <si>
    <t>实样折烫三边风琴边、袋止口并画袋角省位2个*2</t>
  </si>
  <si>
    <t>D3</t>
  </si>
  <si>
    <t>平车压侧袋口宽明线</t>
  </si>
  <si>
    <t>平车还口车肶袋口宽明线*2</t>
  </si>
  <si>
    <t>平车收肶袋角省位</t>
  </si>
  <si>
    <t>平车收肶袋角省位2*2</t>
  </si>
  <si>
    <t>三线转角锁侧袋布三边散口</t>
  </si>
  <si>
    <t>三线转角锁侧袋布三边散口*2</t>
  </si>
  <si>
    <t>电脑三线锁边车</t>
  </si>
  <si>
    <t>平车跟烫痕压肶袋风琴边三边明线</t>
  </si>
  <si>
    <t>平车跟烫痕压肶袋风琴边三边明线*2</t>
  </si>
  <si>
    <t>4-前片</t>
  </si>
  <si>
    <t>平车折订左手心袋布腰口橡筋挂耳连剪断</t>
  </si>
  <si>
    <t>平车折订左手心袋布腰口橡筋挂耳连剪断*1（车台定位）</t>
  </si>
  <si>
    <t>#手工实样画袋垫袋口位3处*2</t>
  </si>
  <si>
    <t>增加工序</t>
  </si>
  <si>
    <t>平车固定挂耳于前侧下脚位</t>
  </si>
  <si>
    <t>平车固定挂耳于前侧下脚位*2（车台订位）</t>
  </si>
  <si>
    <t>平车落前袋口暗线连压暗边线</t>
  </si>
  <si>
    <t>#平车压前袋口暗边线*2</t>
  </si>
  <si>
    <t>平车落前袋口暗线</t>
  </si>
  <si>
    <t>平车落前袋口暗线*2</t>
  </si>
  <si>
    <t>平车压前袋口明线</t>
  </si>
  <si>
    <t>平车压前袋口明线*2</t>
  </si>
  <si>
    <t>四线落底袋布合前袋布一周</t>
  </si>
  <si>
    <t>四线落合前袋布一周*2</t>
  </si>
  <si>
    <t>电脑四线锁边车</t>
  </si>
  <si>
    <t>#平车固定袋布于腰口及侧方连订前袋上端打枣位</t>
  </si>
  <si>
    <r>
      <rPr>
        <sz val="10"/>
        <color theme="1"/>
        <rFont val="宋体"/>
        <charset val="134"/>
        <scheme val="minor"/>
      </rPr>
      <t>#平车落袋布固定袋布于腰口及侧方连订前袋</t>
    </r>
    <r>
      <rPr>
        <sz val="10"/>
        <color rgb="FFFF0000"/>
        <rFont val="宋体"/>
        <charset val="134"/>
        <scheme val="minor"/>
      </rPr>
      <t>上端打枣位*2</t>
    </r>
  </si>
  <si>
    <t>53工序分成80和81工序</t>
  </si>
  <si>
    <t>手工点前袋口上端打枣位*2</t>
  </si>
  <si>
    <t>#平车落袋布固定袋布于腰口及侧方*2</t>
  </si>
  <si>
    <t>5-后片</t>
  </si>
  <si>
    <t>五线合后机头</t>
  </si>
  <si>
    <t>五线合后机头*2</t>
  </si>
  <si>
    <t>电脑五线锁边车</t>
  </si>
  <si>
    <t>平车压后机头明线</t>
  </si>
  <si>
    <t>平车压后机头明线*2</t>
  </si>
  <si>
    <t>平车订洗标于左后侧缝</t>
  </si>
  <si>
    <t>平车订洗标于左后侧缝*1（车台定位）</t>
  </si>
  <si>
    <t>6-组合</t>
  </si>
  <si>
    <t>挂片</t>
  </si>
  <si>
    <t>挂片/配片</t>
  </si>
  <si>
    <t>平车排肶袋口一段</t>
  </si>
  <si>
    <t>#平车排右肶骨一段*2   斜插袋</t>
  </si>
  <si>
    <t>取消工序</t>
  </si>
  <si>
    <t>五线对位合侧缝</t>
  </si>
  <si>
    <t>五线对位合侧缝*2</t>
  </si>
  <si>
    <t>手工实样点肶袋及袋盖位</t>
  </si>
  <si>
    <t>手工实样点肶袋及袋盖位6*2</t>
  </si>
  <si>
    <t>平车转角贴肶袋三边明线连转角重叠固定袋口两端*2</t>
  </si>
  <si>
    <t>B3</t>
  </si>
  <si>
    <t>平车落肶袋盖连压袋盖线*2</t>
  </si>
  <si>
    <t>平车落肶袋暗线*2（套起做）</t>
  </si>
  <si>
    <t>B1</t>
  </si>
  <si>
    <t>平车折压肶袋盖明</t>
  </si>
  <si>
    <t>平车折压肶袋盖明线*2</t>
  </si>
  <si>
    <t>中烫实样双折折烫脚口止口*2</t>
  </si>
  <si>
    <t>中烫实样单折折烫脚口止口*2</t>
  </si>
  <si>
    <t>实样点脚口直眼位</t>
  </si>
  <si>
    <t>实样点脚口直眼位2*2（套起做）</t>
  </si>
  <si>
    <t>半成品开脚口直眼2*2</t>
  </si>
  <si>
    <t>五线合前浪*1</t>
  </si>
  <si>
    <t>C3</t>
  </si>
  <si>
    <t>平车合后浪后机头一段</t>
  </si>
  <si>
    <t>平车合后浪后机头一段*1</t>
  </si>
  <si>
    <t>五线对位合后浪*1</t>
  </si>
  <si>
    <t>五线对位合后浪*1（后机头骨位已固定）</t>
  </si>
  <si>
    <t>平车合底浪骨位一段</t>
  </si>
  <si>
    <t>平车合底浪骨位一段*1</t>
  </si>
  <si>
    <t>五线对位合底浪*1</t>
  </si>
  <si>
    <t>五线对位合底浪*1（底档骨位已固定）</t>
  </si>
  <si>
    <t>平车上腰头暗线</t>
  </si>
  <si>
    <t>平车对位上腰头暗线*1（圆筒比侧缝、袋口宽窄高低）</t>
  </si>
  <si>
    <t>B2</t>
  </si>
  <si>
    <t>四线锁腰头散口一周</t>
  </si>
  <si>
    <t>四线锁腰头散口一周*1（已固定）</t>
  </si>
  <si>
    <t>平车订后中尺码标*1</t>
  </si>
  <si>
    <t>手工翻裤子</t>
  </si>
  <si>
    <t>手工穿脚口弹力绳调节扣一个连穿绳挂耳</t>
  </si>
  <si>
    <t>手工穿脚口弹力绳调节扣一个连穿绳挂耳*2（尾部操作）</t>
  </si>
  <si>
    <t>D1</t>
  </si>
  <si>
    <t>手工穿脚口绳连平车包布搭接绳头</t>
  </si>
  <si>
    <t>平车包布搭接绳头*2（尾部操作）</t>
  </si>
  <si>
    <t>平车包脚口绳车脚口宽线</t>
  </si>
  <si>
    <t>平车还口车脚口宽线*2(单折折烫）</t>
  </si>
  <si>
    <t>中查</t>
  </si>
  <si>
    <t>检验</t>
  </si>
  <si>
    <t>组检成品</t>
  </si>
  <si>
    <t>7-专机</t>
  </si>
  <si>
    <t>打前袋口、肶袋袋口、袋盖枣</t>
  </si>
  <si>
    <t>打前袋口、肶袋袋口、袋盖枣、底浪暗枣*13</t>
  </si>
  <si>
    <t>电脑打枣车</t>
  </si>
  <si>
    <t>穿腰绳*1及比好长短</t>
  </si>
  <si>
    <t>手工穿脚口弹力橡筋绳</t>
  </si>
  <si>
    <t>手工穿脚口弹力橡筋绳*2</t>
  </si>
  <si>
    <t>8-尾部</t>
  </si>
  <si>
    <t>水洗前分色分码捆绑</t>
  </si>
  <si>
    <t>水洗前发货（点数、装袋、装车、数据统计）</t>
  </si>
  <si>
    <t>水洗后回货（下车、点数、数据统计）</t>
  </si>
  <si>
    <t>修剪线毛</t>
  </si>
  <si>
    <t>一查</t>
  </si>
  <si>
    <t>一查查货</t>
  </si>
  <si>
    <t>大烫</t>
  </si>
  <si>
    <t>#大烫</t>
  </si>
  <si>
    <t>整烫（尾部）</t>
  </si>
  <si>
    <t>二查</t>
  </si>
  <si>
    <t>二查查货</t>
  </si>
  <si>
    <t>尾查（成品）</t>
  </si>
  <si>
    <t>分色/分码</t>
  </si>
  <si>
    <t>分PO</t>
  </si>
  <si>
    <t>包装搬运</t>
  </si>
  <si>
    <t>穿挂吊牌*4</t>
  </si>
  <si>
    <t>手工粘线毛（正反面）</t>
  </si>
  <si>
    <t>验针</t>
  </si>
  <si>
    <t>查码</t>
  </si>
  <si>
    <t>折叠</t>
  </si>
  <si>
    <t>单件折叠放防潮纸、干燥剂</t>
  </si>
  <si>
    <t>单件装袋自动封口</t>
  </si>
  <si>
    <t>装箱前检查包装</t>
  </si>
  <si>
    <t>装箱</t>
  </si>
  <si>
    <t>独色独码25件一装箱（拉纸箱、写箱内明细、封箱底、套胶袋、放天地板、放干燥剂、封箱、称重、写记录表）</t>
  </si>
  <si>
    <t>拉箱入库</t>
  </si>
  <si>
    <t>制表人：钱玲燕      审核：　　　    　 审批：　        批准：                          　　　　</t>
  </si>
  <si>
    <t>小组</t>
  </si>
  <si>
    <t>款号</t>
  </si>
  <si>
    <t>床次</t>
  </si>
  <si>
    <t>颜色</t>
  </si>
  <si>
    <t>尺码</t>
  </si>
  <si>
    <t>员工编号</t>
  </si>
  <si>
    <t>员工名称</t>
  </si>
  <si>
    <t>工序序号</t>
  </si>
  <si>
    <t>工序</t>
  </si>
  <si>
    <t>数量</t>
  </si>
  <si>
    <t>生产时间</t>
  </si>
  <si>
    <t>求和项:数量</t>
  </si>
  <si>
    <t>隆昌缝制八组</t>
  </si>
  <si>
    <t>AAV10276</t>
  </si>
  <si>
    <t>2/820</t>
  </si>
  <si>
    <t>军绿色</t>
  </si>
  <si>
    <t>M</t>
  </si>
  <si>
    <t>李德艳</t>
  </si>
  <si>
    <t>拆脚口</t>
  </si>
  <si>
    <t>肖慈美</t>
  </si>
  <si>
    <t>车脚口</t>
  </si>
  <si>
    <t>隆昌缝制一组</t>
  </si>
  <si>
    <t>3/820</t>
  </si>
  <si>
    <t>2XL</t>
  </si>
  <si>
    <t>李上容</t>
  </si>
  <si>
    <t>总计</t>
  </si>
  <si>
    <t>王自淑</t>
  </si>
  <si>
    <t>8/900</t>
  </si>
  <si>
    <t>XL</t>
  </si>
  <si>
    <t>隆昌缝制九组</t>
  </si>
  <si>
    <t>L</t>
  </si>
  <si>
    <t>张兴宏</t>
  </si>
  <si>
    <t>11/903</t>
  </si>
  <si>
    <t>卢光霞</t>
  </si>
  <si>
    <t>6/901</t>
  </si>
  <si>
    <t>隆昌缝制二组</t>
  </si>
  <si>
    <t>杨蕙嘉</t>
  </si>
  <si>
    <t>12/903</t>
  </si>
  <si>
    <t>隆昌缝制四组</t>
  </si>
  <si>
    <t>14/902</t>
  </si>
  <si>
    <t>梁绍坤</t>
  </si>
  <si>
    <t>10/902</t>
  </si>
  <si>
    <t>7/900</t>
  </si>
  <si>
    <t>吕麟英</t>
  </si>
  <si>
    <t>5/901</t>
  </si>
  <si>
    <t>江启芬</t>
  </si>
  <si>
    <t>廖世丽</t>
  </si>
  <si>
    <t>隆昌缝制三组</t>
  </si>
  <si>
    <t>陈启辉</t>
  </si>
  <si>
    <t>马建琼</t>
  </si>
  <si>
    <t>李恭素</t>
  </si>
  <si>
    <t>林利友</t>
  </si>
  <si>
    <t>13/903</t>
  </si>
  <si>
    <t>葛林平</t>
  </si>
  <si>
    <t>9/901</t>
  </si>
  <si>
    <t>李岭</t>
  </si>
  <si>
    <t>刘泽平</t>
  </si>
  <si>
    <t>唐光莉</t>
  </si>
  <si>
    <t>肖贵利</t>
  </si>
  <si>
    <t>代正霞</t>
  </si>
  <si>
    <t>王霞</t>
  </si>
  <si>
    <t>薄变香</t>
  </si>
  <si>
    <t>冯富容</t>
  </si>
  <si>
    <t>范中云</t>
  </si>
  <si>
    <t>4/900</t>
  </si>
  <si>
    <t>李海红</t>
  </si>
  <si>
    <t>黄显燕</t>
  </si>
  <si>
    <t>杨建林</t>
  </si>
  <si>
    <t>徐金秀</t>
  </si>
  <si>
    <t>周利娜</t>
  </si>
  <si>
    <t>刘忠敏</t>
  </si>
  <si>
    <t>张小娟</t>
  </si>
  <si>
    <t>周作恩</t>
  </si>
  <si>
    <t>晏林</t>
  </si>
  <si>
    <t>张佰芬</t>
  </si>
  <si>
    <t>陈远惠</t>
  </si>
  <si>
    <t>黄兰英</t>
  </si>
  <si>
    <t>班组</t>
  </si>
  <si>
    <t>员工工号</t>
  </si>
  <si>
    <t>员工姓名</t>
  </si>
  <si>
    <t>日期</t>
  </si>
  <si>
    <t>隆昌缝制五组</t>
  </si>
  <si>
    <t>正黑色</t>
  </si>
  <si>
    <t>00116</t>
  </si>
  <si>
    <t>何贵香</t>
  </si>
  <si>
    <t>00240</t>
  </si>
  <si>
    <t>曾星淑</t>
  </si>
  <si>
    <t>S</t>
  </si>
  <si>
    <t>0228</t>
  </si>
  <si>
    <t>李金玲</t>
  </si>
  <si>
    <t>打腰头后中枣*1</t>
  </si>
  <si>
    <t>15C0196-翻单</t>
  </si>
  <si>
    <t>黑色</t>
  </si>
  <si>
    <t>42/563</t>
  </si>
  <si>
    <t>黄显菊</t>
  </si>
  <si>
    <t>手工翻两角袋盖*2</t>
  </si>
  <si>
    <t>苏小林</t>
  </si>
  <si>
    <t>酒红</t>
  </si>
  <si>
    <t>97/949</t>
  </si>
  <si>
    <t>自动模板运侧袋盖暗线连激光止口*2</t>
  </si>
  <si>
    <t>赵素英</t>
  </si>
  <si>
    <t>曾本聪</t>
  </si>
  <si>
    <t>廖方萍</t>
  </si>
  <si>
    <t>张世勤</t>
  </si>
  <si>
    <t>田秀蓉</t>
  </si>
  <si>
    <t>陈良</t>
  </si>
  <si>
    <t>聂富坤</t>
  </si>
  <si>
    <t>平车开骨落橡筋包固腰头位*2</t>
  </si>
  <si>
    <t>00137</t>
  </si>
  <si>
    <t>袁祖平</t>
  </si>
  <si>
    <t>手工点橡筋中位*1</t>
  </si>
  <si>
    <t>谢本习</t>
  </si>
  <si>
    <t>66/871</t>
  </si>
  <si>
    <t>罗智忠</t>
  </si>
  <si>
    <t>平车折压肶袋盖明线</t>
  </si>
  <si>
    <t>胡小英</t>
  </si>
  <si>
    <t>021</t>
  </si>
  <si>
    <t>代云霞</t>
  </si>
  <si>
    <t>XS</t>
  </si>
  <si>
    <t>实样折烫肶袋口连折烫三边风琴边、袋止口并画袋角省位</t>
  </si>
  <si>
    <t>李明玉</t>
  </si>
  <si>
    <t>张兴英</t>
  </si>
  <si>
    <t>黄芬</t>
  </si>
  <si>
    <t>肖金花</t>
  </si>
  <si>
    <t>叶礼芬</t>
  </si>
  <si>
    <t>00133</t>
  </si>
  <si>
    <t>张文淑</t>
  </si>
  <si>
    <t>69/870</t>
  </si>
  <si>
    <t>00112</t>
  </si>
  <si>
    <t>黄其萍</t>
  </si>
  <si>
    <t>甘光菊</t>
  </si>
  <si>
    <t>陈善春</t>
  </si>
  <si>
    <t>陈渝莉</t>
  </si>
  <si>
    <t xml:space="preserve"> 梁景银</t>
  </si>
  <si>
    <t>黄永梅</t>
  </si>
  <si>
    <t>冯俊聪</t>
  </si>
  <si>
    <t>00174</t>
  </si>
  <si>
    <t>王美琼</t>
  </si>
  <si>
    <t>0002</t>
  </si>
  <si>
    <t>关永平</t>
  </si>
  <si>
    <t>廖运辉</t>
  </si>
  <si>
    <t>56/013</t>
  </si>
  <si>
    <t>郑润先</t>
  </si>
  <si>
    <t>00115</t>
  </si>
  <si>
    <t>孔令春</t>
  </si>
  <si>
    <t>00363</t>
  </si>
  <si>
    <t>王良琼</t>
  </si>
  <si>
    <t>张先琼</t>
  </si>
  <si>
    <t>黄德苹</t>
  </si>
  <si>
    <t>96/104</t>
  </si>
  <si>
    <t>郑瑜</t>
  </si>
  <si>
    <t>95/090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</si>
</sst>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  <numFmt numFmtId="178" formatCode="0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>
      <alignment vertical="center"/>
    </xf>
    <xf numFmtId="0" fontId="6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177" fontId="1" fillId="0" borderId="1" xfId="0" applyNumberFormat="1" applyFont="1" applyBorder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vertical="center" wrapText="1"/>
    </xf>
    <xf numFmtId="177" fontId="1" fillId="5" borderId="1" xfId="0" applyNumberFormat="1" applyFont="1" applyFill="1" applyBorder="1">
      <alignment vertical="center"/>
    </xf>
    <xf numFmtId="178" fontId="1" fillId="0" borderId="1" xfId="0" applyNumberFormat="1" applyFont="1" applyBorder="1">
      <alignment vertical="center"/>
    </xf>
    <xf numFmtId="178" fontId="1" fillId="5" borderId="1" xfId="0" applyNumberFormat="1" applyFont="1" applyFill="1" applyBorder="1">
      <alignment vertical="center"/>
    </xf>
    <xf numFmtId="0" fontId="5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vertical="center" wrapText="1"/>
    </xf>
    <xf numFmtId="177" fontId="1" fillId="6" borderId="1" xfId="0" applyNumberFormat="1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  <xf numFmtId="178" fontId="1" fillId="6" borderId="1" xfId="0" applyNumberFormat="1" applyFont="1" applyFill="1" applyBorder="1">
      <alignment vertical="center"/>
    </xf>
    <xf numFmtId="0" fontId="1" fillId="5" borderId="0" xfId="0" applyFont="1" applyFill="1" applyAlignment="1">
      <alignment horizontal="left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187960</xdr:colOff>
      <xdr:row>3</xdr:row>
      <xdr:rowOff>59690</xdr:rowOff>
    </xdr:from>
    <xdr:to>
      <xdr:col>8</xdr:col>
      <xdr:colOff>565785</xdr:colOff>
      <xdr:row>17</xdr:row>
      <xdr:rowOff>148590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55415" y="793115"/>
          <a:ext cx="2873375" cy="2527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8.4887847222" refreshedBy="Administrator" recordCount="101">
  <cacheSource type="worksheet">
    <worksheetSource ref="A1:K102" sheet="Sheet1"/>
  </cacheSource>
  <cacheFields count="11">
    <cacheField name="小组" numFmtId="0">
      <sharedItems count="6">
        <s v="隆昌缝制八组"/>
        <s v="隆昌缝制一组"/>
        <s v="隆昌缝制九组"/>
        <s v="隆昌缝制二组"/>
        <s v="隆昌缝制四组"/>
        <s v="隆昌缝制三组"/>
      </sharedItems>
    </cacheField>
    <cacheField name="款号" numFmtId="0">
      <sharedItems count="1">
        <s v="AAV10276"/>
      </sharedItems>
    </cacheField>
    <cacheField name="床次" numFmtId="0">
      <sharedItems count="13">
        <s v="2/820"/>
        <s v="3/820"/>
        <s v="8/900"/>
        <s v="11/903"/>
        <s v="6/901"/>
        <s v="12/903"/>
        <s v="14/902"/>
        <s v="10/902"/>
        <s v="7/900"/>
        <s v="5/901"/>
        <s v="13/903"/>
        <s v="9/901"/>
        <s v="4/900"/>
      </sharedItems>
    </cacheField>
    <cacheField name="颜色" numFmtId="0">
      <sharedItems count="1">
        <s v="军绿色"/>
      </sharedItems>
    </cacheField>
    <cacheField name="尺码" numFmtId="0">
      <sharedItems count="4">
        <s v="M"/>
        <s v="2XL"/>
        <s v="XL"/>
        <s v="L"/>
      </sharedItems>
    </cacheField>
    <cacheField name="员工编号" numFmtId="0">
      <sharedItems containsSemiMixedTypes="0" containsString="0" containsNumber="1" containsInteger="1" minValue="0" maxValue="100567091" count="37">
        <n v="100567086"/>
        <n v="100567091"/>
        <n v="100566874"/>
        <n v="100567011"/>
        <n v="100564052"/>
        <n v="100566398"/>
        <n v="100567060"/>
        <n v="100565622"/>
        <n v="100564060"/>
        <n v="100566553"/>
        <n v="100566400"/>
        <n v="100566851"/>
        <n v="100565750"/>
        <n v="100566938"/>
        <n v="100566793"/>
        <n v="100566557"/>
        <n v="100566850"/>
        <n v="100566428"/>
        <n v="100566591"/>
        <n v="100566593"/>
        <n v="100565742"/>
        <n v="100566713"/>
        <n v="100566946"/>
        <n v="100566389"/>
        <n v="100567004"/>
        <n v="100566799"/>
        <n v="100565685"/>
        <n v="100565797"/>
        <n v="100566446"/>
        <n v="100566729"/>
        <n v="100566811"/>
        <n v="100564717"/>
        <n v="100566654"/>
        <n v="100564057"/>
        <n v="100565673"/>
        <n v="100566371"/>
        <n v="100565417"/>
      </sharedItems>
    </cacheField>
    <cacheField name="员工名称" numFmtId="0">
      <sharedItems count="37">
        <s v="李德艳"/>
        <s v="肖慈美"/>
        <s v="李上容"/>
        <s v="王自淑"/>
        <s v="张兴宏"/>
        <s v="卢光霞"/>
        <s v="杨蕙嘉"/>
        <s v="梁绍坤"/>
        <s v="吕麟英"/>
        <s v="江启芬"/>
        <s v="廖世丽"/>
        <s v="陈启辉"/>
        <s v="马建琼"/>
        <s v="李恭素"/>
        <s v="林利友"/>
        <s v="葛林平"/>
        <s v="李岭"/>
        <s v="刘泽平"/>
        <s v="唐光莉"/>
        <s v="肖贵利"/>
        <s v="代正霞"/>
        <s v="王霞"/>
        <s v="薄变香"/>
        <s v="冯富容"/>
        <s v="范中云"/>
        <s v="李海红"/>
        <s v="黄显燕"/>
        <s v="杨建林"/>
        <s v="徐金秀"/>
        <s v="周利娜"/>
        <s v="刘忠敏"/>
        <s v="张小娟"/>
        <s v="周作恩"/>
        <s v="晏林"/>
        <s v="张佰芬"/>
        <s v="陈远惠"/>
        <s v="黄兰英"/>
      </sharedItems>
    </cacheField>
    <cacheField name="工序序号" numFmtId="0">
      <sharedItems containsSemiMixedTypes="0" containsString="0" containsNumber="1" containsInteger="1" minValue="0" maxValue="92" count="2">
        <n v="91"/>
        <n v="92"/>
      </sharedItems>
    </cacheField>
    <cacheField name="工序" numFmtId="0">
      <sharedItems count="2">
        <s v="拆脚口"/>
        <s v="车脚口"/>
      </sharedItems>
    </cacheField>
    <cacheField name="数量" numFmtId="0">
      <sharedItems containsSemiMixedTypes="0" containsString="0" containsNumber="1" containsInteger="1" minValue="0" maxValue="32" count="20">
        <n v="12"/>
        <n v="7"/>
        <n v="5"/>
        <n v="8"/>
        <n v="13"/>
        <n v="9"/>
        <n v="14"/>
        <n v="17"/>
        <n v="23"/>
        <n v="3"/>
        <n v="11"/>
        <n v="10"/>
        <n v="18"/>
        <n v="6"/>
        <n v="15"/>
        <n v="16"/>
        <n v="22"/>
        <n v="24"/>
        <n v="19"/>
        <n v="32"/>
      </sharedItems>
    </cacheField>
    <cacheField name="生产时间" numFmtId="14">
      <sharedItems containsSemiMixedTypes="0" containsString="0" containsNonDate="0" containsDate="1" minDate="2025-08-27T00:00:00" maxDate="2025-08-29T00:00:00" count="2">
        <d v="2025-08-29T00:00:00"/>
        <d v="2025-08-27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08.7172222222" refreshedBy="Administrator" recordCount="403">
  <cacheSource type="worksheet">
    <worksheetSource ref="A1:K404" sheet="Sheet2"/>
  </cacheSource>
  <cacheFields count="11">
    <cacheField name="班组" numFmtId="0">
      <sharedItems count="1">
        <s v="隆昌缝制五组"/>
      </sharedItems>
    </cacheField>
    <cacheField name="款号" numFmtId="0">
      <sharedItems count="2">
        <s v="AAV10281"/>
        <s v="15C0196-翻单"/>
      </sharedItems>
    </cacheField>
    <cacheField name="颜色" numFmtId="0">
      <sharedItems count="4">
        <s v="正黑色"/>
        <s v="黑色"/>
        <s v="军绿色"/>
        <s v="酒红"/>
      </sharedItems>
    </cacheField>
    <cacheField name="尺码" numFmtId="0">
      <sharedItems count="6">
        <s v="L"/>
        <s v="S"/>
        <s v="2XL"/>
        <s v="XL"/>
        <s v="M"/>
        <s v="XS"/>
      </sharedItems>
    </cacheField>
    <cacheField name="床次" numFmtId="0">
      <sharedItems containsBlank="1" containsNumber="1" containsInteger="1" containsMixedTypes="1" count="16">
        <m/>
        <s v="42/563"/>
        <n v="13"/>
        <s v="97/949"/>
        <n v="14"/>
        <s v="66/871"/>
        <n v="12"/>
        <n v="11"/>
        <s v="69/870"/>
        <n v="5"/>
        <n v="15"/>
        <n v="10"/>
        <s v="56/013"/>
        <s v="96/104"/>
        <s v="95/090"/>
        <n v="9"/>
      </sharedItems>
    </cacheField>
    <cacheField name="工序序号" numFmtId="0">
      <sharedItems containsSemiMixedTypes="0" containsString="0" containsNumber="1" containsInteger="1" minValue="0" maxValue="120" count="41">
        <n v="65"/>
        <n v="76"/>
        <n v="58"/>
        <n v="91"/>
        <n v="57"/>
        <n v="30"/>
        <n v="52"/>
        <n v="49"/>
        <n v="77"/>
        <n v="79"/>
        <n v="55"/>
        <n v="59"/>
        <n v="18"/>
        <n v="25"/>
        <n v="36"/>
        <n v="45"/>
        <n v="75"/>
        <n v="42"/>
        <n v="50"/>
        <n v="120"/>
        <n v="48"/>
        <n v="56"/>
        <n v="73"/>
        <n v="60"/>
        <n v="69"/>
        <n v="53"/>
        <n v="74"/>
        <n v="41"/>
        <n v="66"/>
        <n v="61"/>
        <n v="67"/>
        <n v="29"/>
        <n v="27"/>
        <n v="39"/>
        <n v="68"/>
        <n v="64"/>
        <n v="78"/>
        <n v="47"/>
        <n v="17"/>
        <n v="46"/>
        <n v="72"/>
      </sharedItems>
    </cacheField>
    <cacheField name="工序名称" numFmtId="0">
      <sharedItems count="41">
        <s v="五线对位合后浪*1"/>
        <s v="手工翻裤子"/>
        <s v="手工实样点肶袋及袋盖位"/>
        <s v="打腰头后中枣*1"/>
        <s v="手工翻两角袋盖*2"/>
        <s v="自动模板运侧袋盖暗线连激光止口*2"/>
        <s v="四线落底袋布合前袋布一周"/>
        <s v="平车固定挂耳于前侧下脚位"/>
        <s v="五线对位合侧缝"/>
        <s v="平车排肶袋口一段"/>
        <s v="平车压后机头明线"/>
        <s v="平车转角贴肶袋三边明线连转角重叠固定袋口两端*2"/>
        <s v="带线刀车车肶袋盖净样线"/>
        <s v="手工点橡筋中位*1"/>
        <s v="平车开骨落橡筋包固腰头位*2"/>
        <s v="平车收肶袋角省位"/>
        <s v="平车折压肶袋盖明线"/>
        <s v="拆腰头橡筋固定线"/>
        <s v="平车落前袋口暗线连压暗边线"/>
        <s v="中查"/>
        <s v="平车折订左手心袋布腰口橡筋挂耳连剪断"/>
        <s v="平车订洗标于左后侧缝"/>
        <s v="平车合后浪后机头一段*1"/>
        <s v="平车落肶袋盖连压袋盖线*2"/>
        <s v="平车订后中尺码标*1"/>
        <s v="#平车固定袋布于腰口及侧方连订前袋上端打枣位"/>
        <s v="平车合底浪骨位一段*1"/>
        <s v="实样折烫肶袋口连折烫三边风琴边、袋止口并画袋角省位"/>
        <s v="五线对位合底浪*1"/>
        <s v="中烫实样双折折烫脚口止口*2"/>
        <s v="平车上腰头暗线"/>
        <s v="手工点腰头位"/>
        <s v="挂片"/>
        <s v="平车运肶袋盖两边暗线"/>
        <s v="四线锁腰头散口一周"/>
        <s v="五线合前浪*1"/>
        <s v="平车落前袋口暗线"/>
        <s v="平车跟烫痕压肶袋风琴边三边明线"/>
        <s v="平车压肶袋盖三边明线"/>
        <s v="三线转角锁侧袋布三边散口"/>
        <s v="平车包脚口绳车脚口宽线"/>
      </sharedItems>
    </cacheField>
    <cacheField name="数量" numFmtId="0">
      <sharedItems containsSemiMixedTypes="0" containsString="0" containsNumber="1" containsInteger="1" minValue="0" maxValue="416" count="92">
        <n v="88"/>
        <n v="137"/>
        <n v="46"/>
        <n v="32"/>
        <n v="74"/>
        <n v="416"/>
        <n v="109"/>
        <n v="1"/>
        <n v="63"/>
        <n v="7"/>
        <n v="3"/>
        <n v="5"/>
        <n v="76"/>
        <n v="18"/>
        <n v="45"/>
        <n v="78"/>
        <n v="104"/>
        <n v="52"/>
        <n v="65"/>
        <n v="43"/>
        <n v="60"/>
        <n v="126"/>
        <n v="23"/>
        <n v="66"/>
        <n v="4"/>
        <n v="14"/>
        <n v="67"/>
        <n v="169"/>
        <n v="21"/>
        <n v="17"/>
        <n v="36"/>
        <n v="16"/>
        <n v="34"/>
        <n v="39"/>
        <n v="51"/>
        <n v="87"/>
        <n v="2"/>
        <n v="69"/>
        <n v="25"/>
        <n v="27"/>
        <n v="35"/>
        <n v="50"/>
        <n v="96"/>
        <n v="111"/>
        <n v="102"/>
        <n v="10"/>
        <n v="31"/>
        <n v="6"/>
        <n v="48"/>
        <n v="103"/>
        <n v="54"/>
        <n v="8"/>
        <n v="77"/>
        <n v="170"/>
        <n v="99"/>
        <n v="20"/>
        <n v="28"/>
        <n v="49"/>
        <n v="125"/>
        <n v="29"/>
        <n v="84"/>
        <n v="57"/>
        <n v="55"/>
        <n v="129"/>
        <n v="42"/>
        <n v="12"/>
        <n v="410"/>
        <n v="37"/>
        <n v="110"/>
        <n v="151"/>
        <n v="38"/>
        <n v="90"/>
        <n v="306"/>
        <n v="58"/>
        <n v="19"/>
        <n v="72"/>
        <n v="64"/>
        <n v="119"/>
        <n v="15"/>
        <n v="22"/>
        <n v="11"/>
        <n v="9"/>
        <n v="53"/>
        <n v="73"/>
        <n v="148"/>
        <n v="62"/>
        <n v="30"/>
        <n v="89"/>
        <n v="71"/>
        <n v="152"/>
        <n v="85"/>
        <n v="79"/>
      </sharedItems>
    </cacheField>
    <cacheField name="员工工号" numFmtId="0">
      <sharedItems containsNumber="1" containsInteger="1" containsMixedTypes="1" count="41">
        <s v="00116"/>
        <s v="00240"/>
        <s v="0228"/>
        <n v="100565524"/>
        <n v="100566560"/>
        <n v="100566810"/>
        <n v="1209"/>
        <n v="1789"/>
        <n v="2724"/>
        <n v="4494"/>
        <n v="9189"/>
        <n v="9481"/>
        <s v="00137"/>
        <n v="100565074"/>
        <n v="100566960"/>
        <n v="2269"/>
        <s v="021"/>
        <n v="100565514"/>
        <n v="1393"/>
        <n v="6921"/>
        <n v="7736"/>
        <n v="8528"/>
        <n v="8792"/>
        <s v="00133"/>
        <s v="00112"/>
        <n v="100565416"/>
        <n v="4808"/>
        <n v="3575"/>
        <n v="4776"/>
        <n v="6099"/>
        <n v="6872"/>
        <s v="00174"/>
        <s v="0002"/>
        <n v="100563997"/>
        <n v="100566038"/>
        <s v="00115"/>
        <s v="00363"/>
        <n v="2798"/>
        <n v="678"/>
        <n v="100566711"/>
        <n v="100566563"/>
      </sharedItems>
    </cacheField>
    <cacheField name="员工姓名" numFmtId="0">
      <sharedItems count="39">
        <s v="何贵香"/>
        <s v="曾星淑"/>
        <s v="李金玲"/>
        <s v="黄显菊"/>
        <s v="苏小林"/>
        <s v="赵素英"/>
        <s v="曾本聪"/>
        <s v="廖方萍"/>
        <s v="张世勤"/>
        <s v="田秀蓉"/>
        <s v="陈良"/>
        <s v="聂富坤"/>
        <s v="袁祖平"/>
        <s v="谢本习"/>
        <s v="罗智忠"/>
        <s v="胡小英"/>
        <s v="代云霞"/>
        <s v="李明玉"/>
        <s v="张兴英"/>
        <s v="黄芬"/>
        <s v="肖金花"/>
        <s v="叶礼芬"/>
        <s v="张文淑"/>
        <s v="黄其萍"/>
        <s v="甘光菊"/>
        <s v="陈善春"/>
        <s v="陈渝莉"/>
        <s v=" 梁景银"/>
        <s v="黄永梅"/>
        <s v="冯俊聪"/>
        <s v="王美琼"/>
        <s v="关永平"/>
        <s v="廖运辉"/>
        <s v="郑润先"/>
        <s v="孔令春"/>
        <s v="王良琼"/>
        <s v="张先琼"/>
        <s v="黄德苹"/>
        <s v="郑瑜"/>
      </sharedItems>
    </cacheField>
    <cacheField name="日期" numFmtId="14">
      <sharedItems containsSemiMixedTypes="0" containsString="0" containsNonDate="0" containsDate="1" minDate="2025-09-08T00:00:00" maxDate="2025-09-08T00:00:00" count="1">
        <d v="2025-09-08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0"/>
    <x v="0"/>
    <x v="1"/>
    <x v="0"/>
  </r>
  <r>
    <x v="1"/>
    <x v="0"/>
    <x v="1"/>
    <x v="0"/>
    <x v="1"/>
    <x v="2"/>
    <x v="2"/>
    <x v="0"/>
    <x v="0"/>
    <x v="2"/>
    <x v="1"/>
  </r>
  <r>
    <x v="0"/>
    <x v="0"/>
    <x v="1"/>
    <x v="0"/>
    <x v="0"/>
    <x v="3"/>
    <x v="3"/>
    <x v="0"/>
    <x v="0"/>
    <x v="3"/>
    <x v="0"/>
  </r>
  <r>
    <x v="1"/>
    <x v="0"/>
    <x v="2"/>
    <x v="0"/>
    <x v="2"/>
    <x v="2"/>
    <x v="2"/>
    <x v="0"/>
    <x v="0"/>
    <x v="4"/>
    <x v="1"/>
  </r>
  <r>
    <x v="2"/>
    <x v="0"/>
    <x v="1"/>
    <x v="0"/>
    <x v="3"/>
    <x v="4"/>
    <x v="4"/>
    <x v="0"/>
    <x v="0"/>
    <x v="5"/>
    <x v="0"/>
  </r>
  <r>
    <x v="1"/>
    <x v="0"/>
    <x v="3"/>
    <x v="0"/>
    <x v="0"/>
    <x v="5"/>
    <x v="5"/>
    <x v="0"/>
    <x v="0"/>
    <x v="6"/>
    <x v="1"/>
  </r>
  <r>
    <x v="1"/>
    <x v="0"/>
    <x v="4"/>
    <x v="0"/>
    <x v="2"/>
    <x v="2"/>
    <x v="2"/>
    <x v="0"/>
    <x v="0"/>
    <x v="0"/>
    <x v="1"/>
  </r>
  <r>
    <x v="3"/>
    <x v="0"/>
    <x v="0"/>
    <x v="0"/>
    <x v="2"/>
    <x v="6"/>
    <x v="6"/>
    <x v="0"/>
    <x v="0"/>
    <x v="0"/>
    <x v="1"/>
  </r>
  <r>
    <x v="3"/>
    <x v="0"/>
    <x v="5"/>
    <x v="0"/>
    <x v="2"/>
    <x v="6"/>
    <x v="6"/>
    <x v="0"/>
    <x v="0"/>
    <x v="6"/>
    <x v="0"/>
  </r>
  <r>
    <x v="4"/>
    <x v="0"/>
    <x v="6"/>
    <x v="0"/>
    <x v="2"/>
    <x v="7"/>
    <x v="7"/>
    <x v="0"/>
    <x v="0"/>
    <x v="6"/>
    <x v="1"/>
  </r>
  <r>
    <x v="0"/>
    <x v="0"/>
    <x v="7"/>
    <x v="0"/>
    <x v="0"/>
    <x v="3"/>
    <x v="3"/>
    <x v="0"/>
    <x v="0"/>
    <x v="1"/>
    <x v="0"/>
  </r>
  <r>
    <x v="4"/>
    <x v="0"/>
    <x v="1"/>
    <x v="0"/>
    <x v="1"/>
    <x v="7"/>
    <x v="7"/>
    <x v="0"/>
    <x v="0"/>
    <x v="7"/>
    <x v="1"/>
  </r>
  <r>
    <x v="3"/>
    <x v="0"/>
    <x v="2"/>
    <x v="0"/>
    <x v="2"/>
    <x v="6"/>
    <x v="6"/>
    <x v="0"/>
    <x v="0"/>
    <x v="8"/>
    <x v="1"/>
  </r>
  <r>
    <x v="2"/>
    <x v="0"/>
    <x v="8"/>
    <x v="0"/>
    <x v="0"/>
    <x v="8"/>
    <x v="8"/>
    <x v="0"/>
    <x v="0"/>
    <x v="6"/>
    <x v="0"/>
  </r>
  <r>
    <x v="1"/>
    <x v="0"/>
    <x v="8"/>
    <x v="0"/>
    <x v="2"/>
    <x v="5"/>
    <x v="5"/>
    <x v="0"/>
    <x v="0"/>
    <x v="1"/>
    <x v="1"/>
  </r>
  <r>
    <x v="1"/>
    <x v="0"/>
    <x v="9"/>
    <x v="0"/>
    <x v="1"/>
    <x v="9"/>
    <x v="9"/>
    <x v="0"/>
    <x v="0"/>
    <x v="9"/>
    <x v="1"/>
  </r>
  <r>
    <x v="2"/>
    <x v="0"/>
    <x v="4"/>
    <x v="0"/>
    <x v="0"/>
    <x v="10"/>
    <x v="10"/>
    <x v="0"/>
    <x v="0"/>
    <x v="4"/>
    <x v="0"/>
  </r>
  <r>
    <x v="5"/>
    <x v="0"/>
    <x v="0"/>
    <x v="0"/>
    <x v="2"/>
    <x v="11"/>
    <x v="11"/>
    <x v="0"/>
    <x v="0"/>
    <x v="10"/>
    <x v="0"/>
  </r>
  <r>
    <x v="1"/>
    <x v="0"/>
    <x v="9"/>
    <x v="0"/>
    <x v="1"/>
    <x v="12"/>
    <x v="12"/>
    <x v="0"/>
    <x v="0"/>
    <x v="2"/>
    <x v="0"/>
  </r>
  <r>
    <x v="0"/>
    <x v="0"/>
    <x v="0"/>
    <x v="0"/>
    <x v="1"/>
    <x v="1"/>
    <x v="1"/>
    <x v="0"/>
    <x v="0"/>
    <x v="5"/>
    <x v="0"/>
  </r>
  <r>
    <x v="4"/>
    <x v="0"/>
    <x v="0"/>
    <x v="0"/>
    <x v="0"/>
    <x v="13"/>
    <x v="13"/>
    <x v="0"/>
    <x v="0"/>
    <x v="10"/>
    <x v="0"/>
  </r>
  <r>
    <x v="4"/>
    <x v="0"/>
    <x v="9"/>
    <x v="0"/>
    <x v="1"/>
    <x v="7"/>
    <x v="7"/>
    <x v="0"/>
    <x v="0"/>
    <x v="10"/>
    <x v="0"/>
  </r>
  <r>
    <x v="2"/>
    <x v="0"/>
    <x v="8"/>
    <x v="0"/>
    <x v="0"/>
    <x v="14"/>
    <x v="14"/>
    <x v="0"/>
    <x v="0"/>
    <x v="11"/>
    <x v="0"/>
  </r>
  <r>
    <x v="4"/>
    <x v="0"/>
    <x v="8"/>
    <x v="0"/>
    <x v="2"/>
    <x v="7"/>
    <x v="7"/>
    <x v="0"/>
    <x v="0"/>
    <x v="4"/>
    <x v="0"/>
  </r>
  <r>
    <x v="0"/>
    <x v="0"/>
    <x v="10"/>
    <x v="0"/>
    <x v="1"/>
    <x v="15"/>
    <x v="15"/>
    <x v="0"/>
    <x v="0"/>
    <x v="12"/>
    <x v="0"/>
  </r>
  <r>
    <x v="0"/>
    <x v="0"/>
    <x v="11"/>
    <x v="0"/>
    <x v="0"/>
    <x v="16"/>
    <x v="16"/>
    <x v="0"/>
    <x v="0"/>
    <x v="13"/>
    <x v="0"/>
  </r>
  <r>
    <x v="2"/>
    <x v="0"/>
    <x v="4"/>
    <x v="0"/>
    <x v="0"/>
    <x v="8"/>
    <x v="8"/>
    <x v="0"/>
    <x v="0"/>
    <x v="0"/>
    <x v="0"/>
  </r>
  <r>
    <x v="2"/>
    <x v="0"/>
    <x v="2"/>
    <x v="0"/>
    <x v="0"/>
    <x v="17"/>
    <x v="17"/>
    <x v="0"/>
    <x v="0"/>
    <x v="2"/>
    <x v="0"/>
  </r>
  <r>
    <x v="1"/>
    <x v="0"/>
    <x v="9"/>
    <x v="0"/>
    <x v="2"/>
    <x v="9"/>
    <x v="9"/>
    <x v="0"/>
    <x v="0"/>
    <x v="13"/>
    <x v="1"/>
  </r>
  <r>
    <x v="1"/>
    <x v="0"/>
    <x v="11"/>
    <x v="0"/>
    <x v="1"/>
    <x v="9"/>
    <x v="9"/>
    <x v="0"/>
    <x v="0"/>
    <x v="13"/>
    <x v="1"/>
  </r>
  <r>
    <x v="4"/>
    <x v="0"/>
    <x v="10"/>
    <x v="0"/>
    <x v="1"/>
    <x v="7"/>
    <x v="7"/>
    <x v="0"/>
    <x v="0"/>
    <x v="14"/>
    <x v="1"/>
  </r>
  <r>
    <x v="1"/>
    <x v="0"/>
    <x v="0"/>
    <x v="0"/>
    <x v="1"/>
    <x v="12"/>
    <x v="12"/>
    <x v="0"/>
    <x v="0"/>
    <x v="1"/>
    <x v="1"/>
  </r>
  <r>
    <x v="0"/>
    <x v="0"/>
    <x v="3"/>
    <x v="0"/>
    <x v="2"/>
    <x v="18"/>
    <x v="18"/>
    <x v="0"/>
    <x v="0"/>
    <x v="4"/>
    <x v="0"/>
  </r>
  <r>
    <x v="0"/>
    <x v="0"/>
    <x v="2"/>
    <x v="0"/>
    <x v="0"/>
    <x v="19"/>
    <x v="19"/>
    <x v="0"/>
    <x v="0"/>
    <x v="5"/>
    <x v="0"/>
  </r>
  <r>
    <x v="1"/>
    <x v="0"/>
    <x v="1"/>
    <x v="0"/>
    <x v="0"/>
    <x v="20"/>
    <x v="20"/>
    <x v="0"/>
    <x v="0"/>
    <x v="5"/>
    <x v="1"/>
  </r>
  <r>
    <x v="0"/>
    <x v="0"/>
    <x v="8"/>
    <x v="0"/>
    <x v="2"/>
    <x v="21"/>
    <x v="21"/>
    <x v="0"/>
    <x v="0"/>
    <x v="4"/>
    <x v="0"/>
  </r>
  <r>
    <x v="4"/>
    <x v="0"/>
    <x v="1"/>
    <x v="0"/>
    <x v="2"/>
    <x v="13"/>
    <x v="13"/>
    <x v="0"/>
    <x v="0"/>
    <x v="3"/>
    <x v="1"/>
  </r>
  <r>
    <x v="1"/>
    <x v="0"/>
    <x v="2"/>
    <x v="0"/>
    <x v="2"/>
    <x v="22"/>
    <x v="22"/>
    <x v="0"/>
    <x v="0"/>
    <x v="6"/>
    <x v="1"/>
  </r>
  <r>
    <x v="4"/>
    <x v="0"/>
    <x v="4"/>
    <x v="0"/>
    <x v="2"/>
    <x v="7"/>
    <x v="7"/>
    <x v="0"/>
    <x v="0"/>
    <x v="0"/>
    <x v="1"/>
  </r>
  <r>
    <x v="4"/>
    <x v="0"/>
    <x v="10"/>
    <x v="0"/>
    <x v="1"/>
    <x v="13"/>
    <x v="13"/>
    <x v="0"/>
    <x v="0"/>
    <x v="15"/>
    <x v="0"/>
  </r>
  <r>
    <x v="0"/>
    <x v="0"/>
    <x v="0"/>
    <x v="0"/>
    <x v="0"/>
    <x v="23"/>
    <x v="23"/>
    <x v="0"/>
    <x v="0"/>
    <x v="5"/>
    <x v="0"/>
  </r>
  <r>
    <x v="5"/>
    <x v="0"/>
    <x v="7"/>
    <x v="0"/>
    <x v="2"/>
    <x v="24"/>
    <x v="24"/>
    <x v="0"/>
    <x v="0"/>
    <x v="0"/>
    <x v="1"/>
  </r>
  <r>
    <x v="1"/>
    <x v="0"/>
    <x v="11"/>
    <x v="0"/>
    <x v="0"/>
    <x v="22"/>
    <x v="22"/>
    <x v="0"/>
    <x v="0"/>
    <x v="0"/>
    <x v="1"/>
  </r>
  <r>
    <x v="1"/>
    <x v="0"/>
    <x v="6"/>
    <x v="0"/>
    <x v="2"/>
    <x v="5"/>
    <x v="5"/>
    <x v="0"/>
    <x v="0"/>
    <x v="10"/>
    <x v="1"/>
  </r>
  <r>
    <x v="1"/>
    <x v="0"/>
    <x v="5"/>
    <x v="0"/>
    <x v="0"/>
    <x v="9"/>
    <x v="9"/>
    <x v="0"/>
    <x v="0"/>
    <x v="11"/>
    <x v="0"/>
  </r>
  <r>
    <x v="0"/>
    <x v="0"/>
    <x v="12"/>
    <x v="0"/>
    <x v="2"/>
    <x v="25"/>
    <x v="25"/>
    <x v="0"/>
    <x v="0"/>
    <x v="16"/>
    <x v="0"/>
  </r>
  <r>
    <x v="4"/>
    <x v="0"/>
    <x v="4"/>
    <x v="0"/>
    <x v="0"/>
    <x v="7"/>
    <x v="7"/>
    <x v="0"/>
    <x v="0"/>
    <x v="6"/>
    <x v="1"/>
  </r>
  <r>
    <x v="2"/>
    <x v="0"/>
    <x v="9"/>
    <x v="0"/>
    <x v="0"/>
    <x v="8"/>
    <x v="8"/>
    <x v="0"/>
    <x v="0"/>
    <x v="10"/>
    <x v="0"/>
  </r>
  <r>
    <x v="2"/>
    <x v="0"/>
    <x v="9"/>
    <x v="0"/>
    <x v="1"/>
    <x v="26"/>
    <x v="26"/>
    <x v="0"/>
    <x v="0"/>
    <x v="0"/>
    <x v="0"/>
  </r>
  <r>
    <x v="1"/>
    <x v="0"/>
    <x v="8"/>
    <x v="0"/>
    <x v="0"/>
    <x v="22"/>
    <x v="22"/>
    <x v="0"/>
    <x v="0"/>
    <x v="4"/>
    <x v="1"/>
  </r>
  <r>
    <x v="0"/>
    <x v="0"/>
    <x v="1"/>
    <x v="0"/>
    <x v="2"/>
    <x v="27"/>
    <x v="27"/>
    <x v="0"/>
    <x v="0"/>
    <x v="3"/>
    <x v="0"/>
  </r>
  <r>
    <x v="2"/>
    <x v="0"/>
    <x v="1"/>
    <x v="0"/>
    <x v="1"/>
    <x v="8"/>
    <x v="8"/>
    <x v="0"/>
    <x v="0"/>
    <x v="1"/>
    <x v="0"/>
  </r>
  <r>
    <x v="2"/>
    <x v="0"/>
    <x v="8"/>
    <x v="0"/>
    <x v="2"/>
    <x v="17"/>
    <x v="17"/>
    <x v="0"/>
    <x v="0"/>
    <x v="11"/>
    <x v="0"/>
  </r>
  <r>
    <x v="2"/>
    <x v="0"/>
    <x v="0"/>
    <x v="0"/>
    <x v="2"/>
    <x v="28"/>
    <x v="28"/>
    <x v="0"/>
    <x v="0"/>
    <x v="5"/>
    <x v="0"/>
  </r>
  <r>
    <x v="2"/>
    <x v="0"/>
    <x v="8"/>
    <x v="0"/>
    <x v="0"/>
    <x v="29"/>
    <x v="29"/>
    <x v="0"/>
    <x v="0"/>
    <x v="1"/>
    <x v="0"/>
  </r>
  <r>
    <x v="1"/>
    <x v="0"/>
    <x v="1"/>
    <x v="0"/>
    <x v="1"/>
    <x v="9"/>
    <x v="9"/>
    <x v="0"/>
    <x v="0"/>
    <x v="0"/>
    <x v="1"/>
  </r>
  <r>
    <x v="0"/>
    <x v="0"/>
    <x v="7"/>
    <x v="0"/>
    <x v="1"/>
    <x v="30"/>
    <x v="30"/>
    <x v="0"/>
    <x v="0"/>
    <x v="17"/>
    <x v="0"/>
  </r>
  <r>
    <x v="4"/>
    <x v="0"/>
    <x v="4"/>
    <x v="0"/>
    <x v="1"/>
    <x v="13"/>
    <x v="13"/>
    <x v="0"/>
    <x v="0"/>
    <x v="0"/>
    <x v="1"/>
  </r>
  <r>
    <x v="2"/>
    <x v="0"/>
    <x v="4"/>
    <x v="0"/>
    <x v="1"/>
    <x v="8"/>
    <x v="8"/>
    <x v="0"/>
    <x v="0"/>
    <x v="6"/>
    <x v="0"/>
  </r>
  <r>
    <x v="2"/>
    <x v="0"/>
    <x v="4"/>
    <x v="0"/>
    <x v="2"/>
    <x v="10"/>
    <x v="10"/>
    <x v="0"/>
    <x v="0"/>
    <x v="5"/>
    <x v="0"/>
  </r>
  <r>
    <x v="2"/>
    <x v="0"/>
    <x v="6"/>
    <x v="0"/>
    <x v="2"/>
    <x v="31"/>
    <x v="31"/>
    <x v="0"/>
    <x v="0"/>
    <x v="5"/>
    <x v="0"/>
  </r>
  <r>
    <x v="4"/>
    <x v="0"/>
    <x v="9"/>
    <x v="0"/>
    <x v="0"/>
    <x v="7"/>
    <x v="7"/>
    <x v="0"/>
    <x v="0"/>
    <x v="0"/>
    <x v="1"/>
  </r>
  <r>
    <x v="1"/>
    <x v="0"/>
    <x v="9"/>
    <x v="0"/>
    <x v="2"/>
    <x v="2"/>
    <x v="2"/>
    <x v="0"/>
    <x v="0"/>
    <x v="9"/>
    <x v="1"/>
  </r>
  <r>
    <x v="0"/>
    <x v="0"/>
    <x v="9"/>
    <x v="0"/>
    <x v="0"/>
    <x v="16"/>
    <x v="16"/>
    <x v="0"/>
    <x v="0"/>
    <x v="13"/>
    <x v="0"/>
  </r>
  <r>
    <x v="4"/>
    <x v="0"/>
    <x v="5"/>
    <x v="0"/>
    <x v="2"/>
    <x v="7"/>
    <x v="7"/>
    <x v="0"/>
    <x v="0"/>
    <x v="6"/>
    <x v="1"/>
  </r>
  <r>
    <x v="4"/>
    <x v="0"/>
    <x v="8"/>
    <x v="0"/>
    <x v="2"/>
    <x v="7"/>
    <x v="7"/>
    <x v="0"/>
    <x v="0"/>
    <x v="6"/>
    <x v="1"/>
  </r>
  <r>
    <x v="1"/>
    <x v="0"/>
    <x v="5"/>
    <x v="0"/>
    <x v="2"/>
    <x v="20"/>
    <x v="20"/>
    <x v="0"/>
    <x v="0"/>
    <x v="3"/>
    <x v="1"/>
  </r>
  <r>
    <x v="0"/>
    <x v="0"/>
    <x v="7"/>
    <x v="0"/>
    <x v="1"/>
    <x v="32"/>
    <x v="32"/>
    <x v="0"/>
    <x v="0"/>
    <x v="0"/>
    <x v="0"/>
  </r>
  <r>
    <x v="4"/>
    <x v="0"/>
    <x v="0"/>
    <x v="0"/>
    <x v="1"/>
    <x v="7"/>
    <x v="7"/>
    <x v="0"/>
    <x v="0"/>
    <x v="5"/>
    <x v="1"/>
  </r>
  <r>
    <x v="4"/>
    <x v="0"/>
    <x v="1"/>
    <x v="0"/>
    <x v="0"/>
    <x v="7"/>
    <x v="7"/>
    <x v="0"/>
    <x v="0"/>
    <x v="5"/>
    <x v="1"/>
  </r>
  <r>
    <x v="3"/>
    <x v="0"/>
    <x v="11"/>
    <x v="0"/>
    <x v="1"/>
    <x v="6"/>
    <x v="6"/>
    <x v="0"/>
    <x v="0"/>
    <x v="10"/>
    <x v="0"/>
  </r>
  <r>
    <x v="2"/>
    <x v="0"/>
    <x v="10"/>
    <x v="0"/>
    <x v="0"/>
    <x v="33"/>
    <x v="33"/>
    <x v="0"/>
    <x v="0"/>
    <x v="5"/>
    <x v="0"/>
  </r>
  <r>
    <x v="1"/>
    <x v="0"/>
    <x v="6"/>
    <x v="0"/>
    <x v="0"/>
    <x v="9"/>
    <x v="9"/>
    <x v="0"/>
    <x v="0"/>
    <x v="1"/>
    <x v="1"/>
  </r>
  <r>
    <x v="3"/>
    <x v="0"/>
    <x v="5"/>
    <x v="0"/>
    <x v="2"/>
    <x v="34"/>
    <x v="34"/>
    <x v="1"/>
    <x v="1"/>
    <x v="3"/>
    <x v="0"/>
  </r>
  <r>
    <x v="5"/>
    <x v="0"/>
    <x v="0"/>
    <x v="0"/>
    <x v="2"/>
    <x v="24"/>
    <x v="24"/>
    <x v="1"/>
    <x v="1"/>
    <x v="10"/>
    <x v="0"/>
  </r>
  <r>
    <x v="4"/>
    <x v="0"/>
    <x v="1"/>
    <x v="0"/>
    <x v="0"/>
    <x v="35"/>
    <x v="35"/>
    <x v="1"/>
    <x v="1"/>
    <x v="5"/>
    <x v="1"/>
  </r>
  <r>
    <x v="3"/>
    <x v="0"/>
    <x v="0"/>
    <x v="0"/>
    <x v="2"/>
    <x v="34"/>
    <x v="34"/>
    <x v="1"/>
    <x v="1"/>
    <x v="18"/>
    <x v="1"/>
  </r>
  <r>
    <x v="3"/>
    <x v="0"/>
    <x v="8"/>
    <x v="0"/>
    <x v="0"/>
    <x v="36"/>
    <x v="36"/>
    <x v="1"/>
    <x v="1"/>
    <x v="4"/>
    <x v="1"/>
  </r>
  <r>
    <x v="5"/>
    <x v="0"/>
    <x v="5"/>
    <x v="0"/>
    <x v="2"/>
    <x v="24"/>
    <x v="24"/>
    <x v="1"/>
    <x v="1"/>
    <x v="6"/>
    <x v="0"/>
  </r>
  <r>
    <x v="5"/>
    <x v="0"/>
    <x v="9"/>
    <x v="0"/>
    <x v="2"/>
    <x v="24"/>
    <x v="24"/>
    <x v="1"/>
    <x v="1"/>
    <x v="0"/>
    <x v="1"/>
  </r>
  <r>
    <x v="4"/>
    <x v="0"/>
    <x v="6"/>
    <x v="0"/>
    <x v="2"/>
    <x v="35"/>
    <x v="35"/>
    <x v="1"/>
    <x v="1"/>
    <x v="6"/>
    <x v="1"/>
  </r>
  <r>
    <x v="4"/>
    <x v="0"/>
    <x v="1"/>
    <x v="0"/>
    <x v="1"/>
    <x v="35"/>
    <x v="35"/>
    <x v="1"/>
    <x v="1"/>
    <x v="7"/>
    <x v="1"/>
  </r>
  <r>
    <x v="3"/>
    <x v="0"/>
    <x v="2"/>
    <x v="0"/>
    <x v="2"/>
    <x v="36"/>
    <x v="36"/>
    <x v="1"/>
    <x v="1"/>
    <x v="6"/>
    <x v="0"/>
  </r>
  <r>
    <x v="4"/>
    <x v="0"/>
    <x v="10"/>
    <x v="0"/>
    <x v="1"/>
    <x v="35"/>
    <x v="35"/>
    <x v="1"/>
    <x v="1"/>
    <x v="14"/>
    <x v="0"/>
  </r>
  <r>
    <x v="3"/>
    <x v="0"/>
    <x v="8"/>
    <x v="0"/>
    <x v="2"/>
    <x v="36"/>
    <x v="36"/>
    <x v="1"/>
    <x v="1"/>
    <x v="1"/>
    <x v="1"/>
  </r>
  <r>
    <x v="3"/>
    <x v="0"/>
    <x v="6"/>
    <x v="0"/>
    <x v="0"/>
    <x v="34"/>
    <x v="34"/>
    <x v="1"/>
    <x v="1"/>
    <x v="1"/>
    <x v="0"/>
  </r>
  <r>
    <x v="3"/>
    <x v="0"/>
    <x v="6"/>
    <x v="0"/>
    <x v="2"/>
    <x v="34"/>
    <x v="34"/>
    <x v="1"/>
    <x v="1"/>
    <x v="0"/>
    <x v="1"/>
  </r>
  <r>
    <x v="4"/>
    <x v="0"/>
    <x v="4"/>
    <x v="0"/>
    <x v="2"/>
    <x v="35"/>
    <x v="35"/>
    <x v="1"/>
    <x v="1"/>
    <x v="0"/>
    <x v="1"/>
  </r>
  <r>
    <x v="5"/>
    <x v="0"/>
    <x v="7"/>
    <x v="0"/>
    <x v="2"/>
    <x v="24"/>
    <x v="24"/>
    <x v="1"/>
    <x v="1"/>
    <x v="0"/>
    <x v="1"/>
  </r>
  <r>
    <x v="5"/>
    <x v="0"/>
    <x v="11"/>
    <x v="0"/>
    <x v="2"/>
    <x v="24"/>
    <x v="24"/>
    <x v="1"/>
    <x v="1"/>
    <x v="10"/>
    <x v="1"/>
  </r>
  <r>
    <x v="3"/>
    <x v="0"/>
    <x v="4"/>
    <x v="0"/>
    <x v="1"/>
    <x v="34"/>
    <x v="34"/>
    <x v="1"/>
    <x v="1"/>
    <x v="0"/>
    <x v="1"/>
  </r>
  <r>
    <x v="4"/>
    <x v="0"/>
    <x v="4"/>
    <x v="0"/>
    <x v="1"/>
    <x v="35"/>
    <x v="35"/>
    <x v="1"/>
    <x v="1"/>
    <x v="0"/>
    <x v="1"/>
  </r>
  <r>
    <x v="4"/>
    <x v="0"/>
    <x v="5"/>
    <x v="0"/>
    <x v="2"/>
    <x v="35"/>
    <x v="35"/>
    <x v="1"/>
    <x v="1"/>
    <x v="6"/>
    <x v="0"/>
  </r>
  <r>
    <x v="3"/>
    <x v="0"/>
    <x v="11"/>
    <x v="0"/>
    <x v="0"/>
    <x v="36"/>
    <x v="36"/>
    <x v="1"/>
    <x v="1"/>
    <x v="0"/>
    <x v="0"/>
  </r>
  <r>
    <x v="5"/>
    <x v="0"/>
    <x v="2"/>
    <x v="0"/>
    <x v="2"/>
    <x v="24"/>
    <x v="24"/>
    <x v="1"/>
    <x v="1"/>
    <x v="19"/>
    <x v="1"/>
  </r>
  <r>
    <x v="5"/>
    <x v="0"/>
    <x v="3"/>
    <x v="0"/>
    <x v="2"/>
    <x v="24"/>
    <x v="24"/>
    <x v="1"/>
    <x v="1"/>
    <x v="6"/>
    <x v="1"/>
  </r>
  <r>
    <x v="4"/>
    <x v="0"/>
    <x v="1"/>
    <x v="0"/>
    <x v="2"/>
    <x v="35"/>
    <x v="35"/>
    <x v="1"/>
    <x v="1"/>
    <x v="3"/>
    <x v="1"/>
  </r>
  <r>
    <x v="2"/>
    <x v="0"/>
    <x v="9"/>
    <x v="0"/>
    <x v="0"/>
    <x v="26"/>
    <x v="26"/>
    <x v="1"/>
    <x v="1"/>
    <x v="10"/>
    <x v="0"/>
  </r>
  <r>
    <x v="5"/>
    <x v="0"/>
    <x v="9"/>
    <x v="0"/>
    <x v="1"/>
    <x v="24"/>
    <x v="24"/>
    <x v="1"/>
    <x v="1"/>
    <x v="0"/>
    <x v="1"/>
  </r>
  <r>
    <x v="4"/>
    <x v="0"/>
    <x v="8"/>
    <x v="0"/>
    <x v="2"/>
    <x v="35"/>
    <x v="35"/>
    <x v="1"/>
    <x v="1"/>
    <x v="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3">
  <r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</r>
  <r>
    <x v="0"/>
    <x v="0"/>
    <x v="0"/>
    <x v="1"/>
    <x v="0"/>
    <x v="2"/>
    <x v="2"/>
    <x v="2"/>
    <x v="2"/>
    <x v="2"/>
    <x v="0"/>
  </r>
  <r>
    <x v="0"/>
    <x v="1"/>
    <x v="1"/>
    <x v="2"/>
    <x v="1"/>
    <x v="3"/>
    <x v="3"/>
    <x v="3"/>
    <x v="3"/>
    <x v="3"/>
    <x v="0"/>
  </r>
  <r>
    <x v="0"/>
    <x v="0"/>
    <x v="2"/>
    <x v="0"/>
    <x v="2"/>
    <x v="4"/>
    <x v="4"/>
    <x v="4"/>
    <x v="4"/>
    <x v="4"/>
    <x v="0"/>
  </r>
  <r>
    <x v="0"/>
    <x v="1"/>
    <x v="3"/>
    <x v="0"/>
    <x v="3"/>
    <x v="5"/>
    <x v="5"/>
    <x v="5"/>
    <x v="5"/>
    <x v="5"/>
    <x v="0"/>
  </r>
  <r>
    <x v="0"/>
    <x v="0"/>
    <x v="0"/>
    <x v="2"/>
    <x v="0"/>
    <x v="6"/>
    <x v="6"/>
    <x v="6"/>
    <x v="6"/>
    <x v="6"/>
    <x v="0"/>
  </r>
  <r>
    <x v="0"/>
    <x v="0"/>
    <x v="0"/>
    <x v="3"/>
    <x v="0"/>
    <x v="7"/>
    <x v="7"/>
    <x v="7"/>
    <x v="7"/>
    <x v="7"/>
    <x v="0"/>
  </r>
  <r>
    <x v="0"/>
    <x v="0"/>
    <x v="0"/>
    <x v="0"/>
    <x v="0"/>
    <x v="8"/>
    <x v="8"/>
    <x v="8"/>
    <x v="8"/>
    <x v="8"/>
    <x v="0"/>
  </r>
  <r>
    <x v="0"/>
    <x v="0"/>
    <x v="0"/>
    <x v="0"/>
    <x v="0"/>
    <x v="9"/>
    <x v="9"/>
    <x v="9"/>
    <x v="9"/>
    <x v="9"/>
    <x v="0"/>
  </r>
  <r>
    <x v="0"/>
    <x v="0"/>
    <x v="0"/>
    <x v="4"/>
    <x v="0"/>
    <x v="10"/>
    <x v="10"/>
    <x v="10"/>
    <x v="10"/>
    <x v="10"/>
    <x v="0"/>
  </r>
  <r>
    <x v="0"/>
    <x v="0"/>
    <x v="0"/>
    <x v="1"/>
    <x v="0"/>
    <x v="11"/>
    <x v="11"/>
    <x v="11"/>
    <x v="11"/>
    <x v="11"/>
    <x v="0"/>
  </r>
  <r>
    <x v="0"/>
    <x v="0"/>
    <x v="0"/>
    <x v="4"/>
    <x v="0"/>
    <x v="0"/>
    <x v="0"/>
    <x v="3"/>
    <x v="0"/>
    <x v="0"/>
    <x v="0"/>
  </r>
  <r>
    <x v="0"/>
    <x v="0"/>
    <x v="0"/>
    <x v="1"/>
    <x v="0"/>
    <x v="12"/>
    <x v="12"/>
    <x v="6"/>
    <x v="12"/>
    <x v="12"/>
    <x v="0"/>
  </r>
  <r>
    <x v="0"/>
    <x v="0"/>
    <x v="2"/>
    <x v="0"/>
    <x v="2"/>
    <x v="13"/>
    <x v="13"/>
    <x v="11"/>
    <x v="13"/>
    <x v="13"/>
    <x v="0"/>
  </r>
  <r>
    <x v="0"/>
    <x v="0"/>
    <x v="2"/>
    <x v="4"/>
    <x v="4"/>
    <x v="14"/>
    <x v="14"/>
    <x v="12"/>
    <x v="13"/>
    <x v="13"/>
    <x v="0"/>
  </r>
  <r>
    <x v="0"/>
    <x v="1"/>
    <x v="1"/>
    <x v="1"/>
    <x v="5"/>
    <x v="3"/>
    <x v="3"/>
    <x v="13"/>
    <x v="3"/>
    <x v="3"/>
    <x v="0"/>
  </r>
  <r>
    <x v="0"/>
    <x v="0"/>
    <x v="2"/>
    <x v="1"/>
    <x v="4"/>
    <x v="15"/>
    <x v="15"/>
    <x v="4"/>
    <x v="14"/>
    <x v="14"/>
    <x v="0"/>
  </r>
  <r>
    <x v="0"/>
    <x v="0"/>
    <x v="0"/>
    <x v="2"/>
    <x v="0"/>
    <x v="16"/>
    <x v="16"/>
    <x v="14"/>
    <x v="15"/>
    <x v="15"/>
    <x v="0"/>
  </r>
  <r>
    <x v="0"/>
    <x v="0"/>
    <x v="0"/>
    <x v="0"/>
    <x v="0"/>
    <x v="17"/>
    <x v="17"/>
    <x v="1"/>
    <x v="1"/>
    <x v="1"/>
    <x v="0"/>
  </r>
  <r>
    <x v="0"/>
    <x v="0"/>
    <x v="0"/>
    <x v="0"/>
    <x v="0"/>
    <x v="2"/>
    <x v="2"/>
    <x v="15"/>
    <x v="16"/>
    <x v="16"/>
    <x v="0"/>
  </r>
  <r>
    <x v="0"/>
    <x v="0"/>
    <x v="0"/>
    <x v="2"/>
    <x v="6"/>
    <x v="14"/>
    <x v="14"/>
    <x v="9"/>
    <x v="13"/>
    <x v="13"/>
    <x v="0"/>
  </r>
  <r>
    <x v="0"/>
    <x v="0"/>
    <x v="0"/>
    <x v="2"/>
    <x v="7"/>
    <x v="18"/>
    <x v="18"/>
    <x v="16"/>
    <x v="17"/>
    <x v="1"/>
    <x v="0"/>
  </r>
  <r>
    <x v="0"/>
    <x v="1"/>
    <x v="1"/>
    <x v="3"/>
    <x v="1"/>
    <x v="3"/>
    <x v="3"/>
    <x v="17"/>
    <x v="3"/>
    <x v="3"/>
    <x v="0"/>
  </r>
  <r>
    <x v="0"/>
    <x v="1"/>
    <x v="1"/>
    <x v="5"/>
    <x v="1"/>
    <x v="3"/>
    <x v="3"/>
    <x v="18"/>
    <x v="3"/>
    <x v="3"/>
    <x v="0"/>
  </r>
  <r>
    <x v="0"/>
    <x v="0"/>
    <x v="2"/>
    <x v="2"/>
    <x v="4"/>
    <x v="4"/>
    <x v="4"/>
    <x v="19"/>
    <x v="4"/>
    <x v="4"/>
    <x v="0"/>
  </r>
  <r>
    <x v="0"/>
    <x v="0"/>
    <x v="2"/>
    <x v="3"/>
    <x v="4"/>
    <x v="15"/>
    <x v="15"/>
    <x v="20"/>
    <x v="14"/>
    <x v="14"/>
    <x v="0"/>
  </r>
  <r>
    <x v="0"/>
    <x v="0"/>
    <x v="0"/>
    <x v="4"/>
    <x v="0"/>
    <x v="19"/>
    <x v="19"/>
    <x v="21"/>
    <x v="18"/>
    <x v="17"/>
    <x v="0"/>
  </r>
  <r>
    <x v="0"/>
    <x v="0"/>
    <x v="2"/>
    <x v="0"/>
    <x v="0"/>
    <x v="20"/>
    <x v="20"/>
    <x v="22"/>
    <x v="7"/>
    <x v="7"/>
    <x v="0"/>
  </r>
  <r>
    <x v="0"/>
    <x v="0"/>
    <x v="0"/>
    <x v="0"/>
    <x v="0"/>
    <x v="21"/>
    <x v="21"/>
    <x v="23"/>
    <x v="7"/>
    <x v="7"/>
    <x v="0"/>
  </r>
  <r>
    <x v="0"/>
    <x v="0"/>
    <x v="0"/>
    <x v="0"/>
    <x v="0"/>
    <x v="10"/>
    <x v="10"/>
    <x v="23"/>
    <x v="7"/>
    <x v="7"/>
    <x v="0"/>
  </r>
  <r>
    <x v="0"/>
    <x v="0"/>
    <x v="0"/>
    <x v="2"/>
    <x v="0"/>
    <x v="20"/>
    <x v="20"/>
    <x v="14"/>
    <x v="19"/>
    <x v="18"/>
    <x v="0"/>
  </r>
  <r>
    <x v="0"/>
    <x v="0"/>
    <x v="0"/>
    <x v="3"/>
    <x v="0"/>
    <x v="11"/>
    <x v="11"/>
    <x v="24"/>
    <x v="20"/>
    <x v="19"/>
    <x v="0"/>
  </r>
  <r>
    <x v="0"/>
    <x v="0"/>
    <x v="0"/>
    <x v="1"/>
    <x v="0"/>
    <x v="22"/>
    <x v="22"/>
    <x v="25"/>
    <x v="21"/>
    <x v="20"/>
    <x v="0"/>
  </r>
  <r>
    <x v="0"/>
    <x v="0"/>
    <x v="0"/>
    <x v="0"/>
    <x v="0"/>
    <x v="9"/>
    <x v="9"/>
    <x v="9"/>
    <x v="22"/>
    <x v="21"/>
    <x v="0"/>
  </r>
  <r>
    <x v="0"/>
    <x v="0"/>
    <x v="0"/>
    <x v="1"/>
    <x v="0"/>
    <x v="23"/>
    <x v="23"/>
    <x v="9"/>
    <x v="23"/>
    <x v="22"/>
    <x v="0"/>
  </r>
  <r>
    <x v="0"/>
    <x v="0"/>
    <x v="0"/>
    <x v="3"/>
    <x v="0"/>
    <x v="24"/>
    <x v="24"/>
    <x v="26"/>
    <x v="1"/>
    <x v="1"/>
    <x v="0"/>
  </r>
  <r>
    <x v="0"/>
    <x v="0"/>
    <x v="2"/>
    <x v="4"/>
    <x v="4"/>
    <x v="13"/>
    <x v="13"/>
    <x v="12"/>
    <x v="13"/>
    <x v="13"/>
    <x v="0"/>
  </r>
  <r>
    <x v="0"/>
    <x v="1"/>
    <x v="1"/>
    <x v="3"/>
    <x v="8"/>
    <x v="3"/>
    <x v="3"/>
    <x v="27"/>
    <x v="3"/>
    <x v="3"/>
    <x v="0"/>
  </r>
  <r>
    <x v="0"/>
    <x v="0"/>
    <x v="0"/>
    <x v="2"/>
    <x v="0"/>
    <x v="25"/>
    <x v="25"/>
    <x v="28"/>
    <x v="7"/>
    <x v="7"/>
    <x v="0"/>
  </r>
  <r>
    <x v="0"/>
    <x v="0"/>
    <x v="0"/>
    <x v="0"/>
    <x v="0"/>
    <x v="7"/>
    <x v="7"/>
    <x v="23"/>
    <x v="7"/>
    <x v="7"/>
    <x v="0"/>
  </r>
  <r>
    <x v="0"/>
    <x v="0"/>
    <x v="0"/>
    <x v="3"/>
    <x v="0"/>
    <x v="26"/>
    <x v="26"/>
    <x v="29"/>
    <x v="9"/>
    <x v="9"/>
    <x v="0"/>
  </r>
  <r>
    <x v="0"/>
    <x v="0"/>
    <x v="0"/>
    <x v="1"/>
    <x v="0"/>
    <x v="20"/>
    <x v="20"/>
    <x v="30"/>
    <x v="19"/>
    <x v="18"/>
    <x v="0"/>
  </r>
  <r>
    <x v="0"/>
    <x v="0"/>
    <x v="0"/>
    <x v="1"/>
    <x v="0"/>
    <x v="7"/>
    <x v="7"/>
    <x v="20"/>
    <x v="10"/>
    <x v="10"/>
    <x v="0"/>
  </r>
  <r>
    <x v="0"/>
    <x v="0"/>
    <x v="0"/>
    <x v="0"/>
    <x v="0"/>
    <x v="9"/>
    <x v="9"/>
    <x v="31"/>
    <x v="24"/>
    <x v="23"/>
    <x v="0"/>
  </r>
  <r>
    <x v="0"/>
    <x v="0"/>
    <x v="0"/>
    <x v="4"/>
    <x v="0"/>
    <x v="11"/>
    <x v="11"/>
    <x v="11"/>
    <x v="23"/>
    <x v="22"/>
    <x v="0"/>
  </r>
  <r>
    <x v="0"/>
    <x v="0"/>
    <x v="0"/>
    <x v="4"/>
    <x v="0"/>
    <x v="2"/>
    <x v="2"/>
    <x v="32"/>
    <x v="2"/>
    <x v="2"/>
    <x v="0"/>
  </r>
  <r>
    <x v="0"/>
    <x v="0"/>
    <x v="2"/>
    <x v="3"/>
    <x v="4"/>
    <x v="27"/>
    <x v="27"/>
    <x v="31"/>
    <x v="25"/>
    <x v="24"/>
    <x v="0"/>
  </r>
  <r>
    <x v="0"/>
    <x v="0"/>
    <x v="0"/>
    <x v="0"/>
    <x v="9"/>
    <x v="18"/>
    <x v="18"/>
    <x v="3"/>
    <x v="17"/>
    <x v="1"/>
    <x v="0"/>
  </r>
  <r>
    <x v="0"/>
    <x v="0"/>
    <x v="0"/>
    <x v="1"/>
    <x v="0"/>
    <x v="25"/>
    <x v="25"/>
    <x v="32"/>
    <x v="7"/>
    <x v="7"/>
    <x v="0"/>
  </r>
  <r>
    <x v="0"/>
    <x v="0"/>
    <x v="0"/>
    <x v="0"/>
    <x v="0"/>
    <x v="28"/>
    <x v="28"/>
    <x v="7"/>
    <x v="8"/>
    <x v="8"/>
    <x v="0"/>
  </r>
  <r>
    <x v="0"/>
    <x v="0"/>
    <x v="0"/>
    <x v="4"/>
    <x v="0"/>
    <x v="29"/>
    <x v="29"/>
    <x v="33"/>
    <x v="26"/>
    <x v="25"/>
    <x v="0"/>
  </r>
  <r>
    <x v="0"/>
    <x v="0"/>
    <x v="0"/>
    <x v="2"/>
    <x v="0"/>
    <x v="7"/>
    <x v="7"/>
    <x v="34"/>
    <x v="10"/>
    <x v="10"/>
    <x v="0"/>
  </r>
  <r>
    <x v="0"/>
    <x v="0"/>
    <x v="0"/>
    <x v="0"/>
    <x v="0"/>
    <x v="23"/>
    <x v="23"/>
    <x v="13"/>
    <x v="23"/>
    <x v="22"/>
    <x v="0"/>
  </r>
  <r>
    <x v="0"/>
    <x v="0"/>
    <x v="0"/>
    <x v="4"/>
    <x v="0"/>
    <x v="24"/>
    <x v="24"/>
    <x v="35"/>
    <x v="1"/>
    <x v="1"/>
    <x v="0"/>
  </r>
  <r>
    <x v="0"/>
    <x v="0"/>
    <x v="0"/>
    <x v="4"/>
    <x v="0"/>
    <x v="11"/>
    <x v="11"/>
    <x v="9"/>
    <x v="27"/>
    <x v="26"/>
    <x v="0"/>
  </r>
  <r>
    <x v="0"/>
    <x v="0"/>
    <x v="0"/>
    <x v="0"/>
    <x v="0"/>
    <x v="2"/>
    <x v="2"/>
    <x v="36"/>
    <x v="28"/>
    <x v="27"/>
    <x v="0"/>
  </r>
  <r>
    <x v="0"/>
    <x v="0"/>
    <x v="0"/>
    <x v="0"/>
    <x v="0"/>
    <x v="29"/>
    <x v="29"/>
    <x v="37"/>
    <x v="26"/>
    <x v="25"/>
    <x v="0"/>
  </r>
  <r>
    <x v="0"/>
    <x v="0"/>
    <x v="0"/>
    <x v="1"/>
    <x v="0"/>
    <x v="8"/>
    <x v="8"/>
    <x v="38"/>
    <x v="29"/>
    <x v="28"/>
    <x v="0"/>
  </r>
  <r>
    <x v="0"/>
    <x v="0"/>
    <x v="0"/>
    <x v="4"/>
    <x v="0"/>
    <x v="20"/>
    <x v="20"/>
    <x v="36"/>
    <x v="30"/>
    <x v="29"/>
    <x v="0"/>
  </r>
  <r>
    <x v="0"/>
    <x v="0"/>
    <x v="0"/>
    <x v="3"/>
    <x v="0"/>
    <x v="30"/>
    <x v="30"/>
    <x v="39"/>
    <x v="22"/>
    <x v="21"/>
    <x v="0"/>
  </r>
  <r>
    <x v="0"/>
    <x v="0"/>
    <x v="0"/>
    <x v="3"/>
    <x v="0"/>
    <x v="31"/>
    <x v="31"/>
    <x v="39"/>
    <x v="22"/>
    <x v="21"/>
    <x v="0"/>
  </r>
  <r>
    <x v="0"/>
    <x v="0"/>
    <x v="0"/>
    <x v="1"/>
    <x v="0"/>
    <x v="21"/>
    <x v="21"/>
    <x v="20"/>
    <x v="10"/>
    <x v="10"/>
    <x v="0"/>
  </r>
  <r>
    <x v="0"/>
    <x v="0"/>
    <x v="0"/>
    <x v="3"/>
    <x v="0"/>
    <x v="7"/>
    <x v="7"/>
    <x v="36"/>
    <x v="10"/>
    <x v="10"/>
    <x v="0"/>
  </r>
  <r>
    <x v="0"/>
    <x v="0"/>
    <x v="0"/>
    <x v="0"/>
    <x v="0"/>
    <x v="11"/>
    <x v="11"/>
    <x v="40"/>
    <x v="11"/>
    <x v="11"/>
    <x v="0"/>
  </r>
  <r>
    <x v="0"/>
    <x v="0"/>
    <x v="0"/>
    <x v="2"/>
    <x v="0"/>
    <x v="26"/>
    <x v="26"/>
    <x v="41"/>
    <x v="0"/>
    <x v="0"/>
    <x v="0"/>
  </r>
  <r>
    <x v="0"/>
    <x v="0"/>
    <x v="0"/>
    <x v="2"/>
    <x v="0"/>
    <x v="32"/>
    <x v="32"/>
    <x v="42"/>
    <x v="31"/>
    <x v="30"/>
    <x v="0"/>
  </r>
  <r>
    <x v="0"/>
    <x v="0"/>
    <x v="0"/>
    <x v="1"/>
    <x v="0"/>
    <x v="32"/>
    <x v="32"/>
    <x v="43"/>
    <x v="31"/>
    <x v="30"/>
    <x v="0"/>
  </r>
  <r>
    <x v="0"/>
    <x v="0"/>
    <x v="2"/>
    <x v="0"/>
    <x v="4"/>
    <x v="33"/>
    <x v="33"/>
    <x v="44"/>
    <x v="5"/>
    <x v="5"/>
    <x v="0"/>
  </r>
  <r>
    <x v="0"/>
    <x v="0"/>
    <x v="0"/>
    <x v="0"/>
    <x v="0"/>
    <x v="9"/>
    <x v="9"/>
    <x v="11"/>
    <x v="6"/>
    <x v="6"/>
    <x v="0"/>
  </r>
  <r>
    <x v="0"/>
    <x v="0"/>
    <x v="0"/>
    <x v="2"/>
    <x v="0"/>
    <x v="11"/>
    <x v="11"/>
    <x v="45"/>
    <x v="27"/>
    <x v="26"/>
    <x v="0"/>
  </r>
  <r>
    <x v="0"/>
    <x v="0"/>
    <x v="0"/>
    <x v="4"/>
    <x v="0"/>
    <x v="29"/>
    <x v="29"/>
    <x v="46"/>
    <x v="28"/>
    <x v="27"/>
    <x v="0"/>
  </r>
  <r>
    <x v="0"/>
    <x v="0"/>
    <x v="0"/>
    <x v="4"/>
    <x v="0"/>
    <x v="11"/>
    <x v="11"/>
    <x v="47"/>
    <x v="20"/>
    <x v="19"/>
    <x v="0"/>
  </r>
  <r>
    <x v="0"/>
    <x v="0"/>
    <x v="0"/>
    <x v="2"/>
    <x v="0"/>
    <x v="34"/>
    <x v="34"/>
    <x v="33"/>
    <x v="22"/>
    <x v="21"/>
    <x v="0"/>
  </r>
  <r>
    <x v="0"/>
    <x v="0"/>
    <x v="0"/>
    <x v="3"/>
    <x v="0"/>
    <x v="34"/>
    <x v="34"/>
    <x v="39"/>
    <x v="22"/>
    <x v="21"/>
    <x v="0"/>
  </r>
  <r>
    <x v="0"/>
    <x v="0"/>
    <x v="0"/>
    <x v="2"/>
    <x v="0"/>
    <x v="10"/>
    <x v="10"/>
    <x v="34"/>
    <x v="10"/>
    <x v="10"/>
    <x v="0"/>
  </r>
  <r>
    <x v="0"/>
    <x v="0"/>
    <x v="0"/>
    <x v="0"/>
    <x v="0"/>
    <x v="7"/>
    <x v="7"/>
    <x v="48"/>
    <x v="10"/>
    <x v="10"/>
    <x v="0"/>
  </r>
  <r>
    <x v="0"/>
    <x v="0"/>
    <x v="0"/>
    <x v="4"/>
    <x v="0"/>
    <x v="11"/>
    <x v="11"/>
    <x v="45"/>
    <x v="32"/>
    <x v="31"/>
    <x v="0"/>
  </r>
  <r>
    <x v="0"/>
    <x v="0"/>
    <x v="0"/>
    <x v="2"/>
    <x v="0"/>
    <x v="0"/>
    <x v="0"/>
    <x v="41"/>
    <x v="0"/>
    <x v="0"/>
    <x v="0"/>
  </r>
  <r>
    <x v="0"/>
    <x v="0"/>
    <x v="0"/>
    <x v="1"/>
    <x v="0"/>
    <x v="26"/>
    <x v="26"/>
    <x v="47"/>
    <x v="0"/>
    <x v="0"/>
    <x v="0"/>
  </r>
  <r>
    <x v="0"/>
    <x v="0"/>
    <x v="0"/>
    <x v="1"/>
    <x v="0"/>
    <x v="35"/>
    <x v="35"/>
    <x v="47"/>
    <x v="0"/>
    <x v="0"/>
    <x v="0"/>
  </r>
  <r>
    <x v="0"/>
    <x v="0"/>
    <x v="0"/>
    <x v="3"/>
    <x v="0"/>
    <x v="23"/>
    <x v="23"/>
    <x v="11"/>
    <x v="23"/>
    <x v="22"/>
    <x v="0"/>
  </r>
  <r>
    <x v="0"/>
    <x v="0"/>
    <x v="0"/>
    <x v="3"/>
    <x v="0"/>
    <x v="2"/>
    <x v="2"/>
    <x v="24"/>
    <x v="16"/>
    <x v="16"/>
    <x v="0"/>
  </r>
  <r>
    <x v="0"/>
    <x v="0"/>
    <x v="2"/>
    <x v="1"/>
    <x v="10"/>
    <x v="18"/>
    <x v="18"/>
    <x v="49"/>
    <x v="33"/>
    <x v="32"/>
    <x v="0"/>
  </r>
  <r>
    <x v="0"/>
    <x v="0"/>
    <x v="2"/>
    <x v="0"/>
    <x v="2"/>
    <x v="14"/>
    <x v="14"/>
    <x v="11"/>
    <x v="13"/>
    <x v="13"/>
    <x v="0"/>
  </r>
  <r>
    <x v="0"/>
    <x v="0"/>
    <x v="2"/>
    <x v="0"/>
    <x v="2"/>
    <x v="15"/>
    <x v="15"/>
    <x v="50"/>
    <x v="14"/>
    <x v="14"/>
    <x v="0"/>
  </r>
  <r>
    <x v="0"/>
    <x v="0"/>
    <x v="0"/>
    <x v="2"/>
    <x v="0"/>
    <x v="28"/>
    <x v="28"/>
    <x v="41"/>
    <x v="0"/>
    <x v="0"/>
    <x v="0"/>
  </r>
  <r>
    <x v="0"/>
    <x v="0"/>
    <x v="0"/>
    <x v="3"/>
    <x v="0"/>
    <x v="11"/>
    <x v="11"/>
    <x v="11"/>
    <x v="23"/>
    <x v="22"/>
    <x v="0"/>
  </r>
  <r>
    <x v="0"/>
    <x v="0"/>
    <x v="2"/>
    <x v="0"/>
    <x v="11"/>
    <x v="27"/>
    <x v="27"/>
    <x v="41"/>
    <x v="25"/>
    <x v="24"/>
    <x v="0"/>
  </r>
  <r>
    <x v="0"/>
    <x v="1"/>
    <x v="1"/>
    <x v="2"/>
    <x v="12"/>
    <x v="3"/>
    <x v="3"/>
    <x v="51"/>
    <x v="3"/>
    <x v="3"/>
    <x v="0"/>
  </r>
  <r>
    <x v="0"/>
    <x v="0"/>
    <x v="2"/>
    <x v="0"/>
    <x v="2"/>
    <x v="36"/>
    <x v="36"/>
    <x v="49"/>
    <x v="34"/>
    <x v="33"/>
    <x v="0"/>
  </r>
  <r>
    <x v="0"/>
    <x v="0"/>
    <x v="0"/>
    <x v="2"/>
    <x v="0"/>
    <x v="8"/>
    <x v="8"/>
    <x v="52"/>
    <x v="8"/>
    <x v="8"/>
    <x v="0"/>
  </r>
  <r>
    <x v="0"/>
    <x v="0"/>
    <x v="0"/>
    <x v="1"/>
    <x v="0"/>
    <x v="29"/>
    <x v="29"/>
    <x v="12"/>
    <x v="26"/>
    <x v="25"/>
    <x v="0"/>
  </r>
  <r>
    <x v="0"/>
    <x v="1"/>
    <x v="1"/>
    <x v="4"/>
    <x v="1"/>
    <x v="3"/>
    <x v="3"/>
    <x v="53"/>
    <x v="3"/>
    <x v="3"/>
    <x v="0"/>
  </r>
  <r>
    <x v="0"/>
    <x v="0"/>
    <x v="2"/>
    <x v="3"/>
    <x v="2"/>
    <x v="37"/>
    <x v="37"/>
    <x v="31"/>
    <x v="14"/>
    <x v="14"/>
    <x v="0"/>
  </r>
  <r>
    <x v="0"/>
    <x v="0"/>
    <x v="0"/>
    <x v="0"/>
    <x v="0"/>
    <x v="19"/>
    <x v="19"/>
    <x v="54"/>
    <x v="18"/>
    <x v="17"/>
    <x v="0"/>
  </r>
  <r>
    <x v="0"/>
    <x v="0"/>
    <x v="0"/>
    <x v="2"/>
    <x v="0"/>
    <x v="20"/>
    <x v="20"/>
    <x v="28"/>
    <x v="7"/>
    <x v="7"/>
    <x v="0"/>
  </r>
  <r>
    <x v="0"/>
    <x v="0"/>
    <x v="0"/>
    <x v="0"/>
    <x v="0"/>
    <x v="28"/>
    <x v="28"/>
    <x v="17"/>
    <x v="9"/>
    <x v="9"/>
    <x v="0"/>
  </r>
  <r>
    <x v="0"/>
    <x v="0"/>
    <x v="0"/>
    <x v="3"/>
    <x v="0"/>
    <x v="29"/>
    <x v="29"/>
    <x v="13"/>
    <x v="28"/>
    <x v="27"/>
    <x v="0"/>
  </r>
  <r>
    <x v="0"/>
    <x v="0"/>
    <x v="2"/>
    <x v="0"/>
    <x v="0"/>
    <x v="20"/>
    <x v="20"/>
    <x v="55"/>
    <x v="30"/>
    <x v="29"/>
    <x v="0"/>
  </r>
  <r>
    <x v="0"/>
    <x v="0"/>
    <x v="0"/>
    <x v="1"/>
    <x v="0"/>
    <x v="25"/>
    <x v="25"/>
    <x v="33"/>
    <x v="30"/>
    <x v="29"/>
    <x v="0"/>
  </r>
  <r>
    <x v="0"/>
    <x v="0"/>
    <x v="0"/>
    <x v="0"/>
    <x v="0"/>
    <x v="16"/>
    <x v="16"/>
    <x v="26"/>
    <x v="21"/>
    <x v="20"/>
    <x v="0"/>
  </r>
  <r>
    <x v="0"/>
    <x v="0"/>
    <x v="0"/>
    <x v="4"/>
    <x v="0"/>
    <x v="8"/>
    <x v="8"/>
    <x v="36"/>
    <x v="22"/>
    <x v="21"/>
    <x v="0"/>
  </r>
  <r>
    <x v="0"/>
    <x v="0"/>
    <x v="0"/>
    <x v="4"/>
    <x v="0"/>
    <x v="23"/>
    <x v="23"/>
    <x v="11"/>
    <x v="23"/>
    <x v="22"/>
    <x v="0"/>
  </r>
  <r>
    <x v="0"/>
    <x v="0"/>
    <x v="0"/>
    <x v="3"/>
    <x v="0"/>
    <x v="1"/>
    <x v="1"/>
    <x v="26"/>
    <x v="1"/>
    <x v="1"/>
    <x v="0"/>
  </r>
  <r>
    <x v="0"/>
    <x v="0"/>
    <x v="2"/>
    <x v="2"/>
    <x v="4"/>
    <x v="38"/>
    <x v="38"/>
    <x v="19"/>
    <x v="4"/>
    <x v="4"/>
    <x v="0"/>
  </r>
  <r>
    <x v="0"/>
    <x v="0"/>
    <x v="2"/>
    <x v="2"/>
    <x v="10"/>
    <x v="4"/>
    <x v="4"/>
    <x v="49"/>
    <x v="4"/>
    <x v="4"/>
    <x v="0"/>
  </r>
  <r>
    <x v="0"/>
    <x v="0"/>
    <x v="0"/>
    <x v="4"/>
    <x v="0"/>
    <x v="31"/>
    <x v="31"/>
    <x v="22"/>
    <x v="35"/>
    <x v="34"/>
    <x v="0"/>
  </r>
  <r>
    <x v="0"/>
    <x v="0"/>
    <x v="0"/>
    <x v="1"/>
    <x v="0"/>
    <x v="39"/>
    <x v="39"/>
    <x v="6"/>
    <x v="12"/>
    <x v="12"/>
    <x v="0"/>
  </r>
  <r>
    <x v="0"/>
    <x v="0"/>
    <x v="0"/>
    <x v="2"/>
    <x v="0"/>
    <x v="40"/>
    <x v="40"/>
    <x v="56"/>
    <x v="36"/>
    <x v="35"/>
    <x v="0"/>
  </r>
  <r>
    <x v="0"/>
    <x v="0"/>
    <x v="2"/>
    <x v="3"/>
    <x v="4"/>
    <x v="37"/>
    <x v="37"/>
    <x v="20"/>
    <x v="14"/>
    <x v="14"/>
    <x v="0"/>
  </r>
  <r>
    <x v="0"/>
    <x v="0"/>
    <x v="0"/>
    <x v="4"/>
    <x v="0"/>
    <x v="16"/>
    <x v="16"/>
    <x v="22"/>
    <x v="15"/>
    <x v="15"/>
    <x v="0"/>
  </r>
  <r>
    <x v="0"/>
    <x v="0"/>
    <x v="0"/>
    <x v="0"/>
    <x v="0"/>
    <x v="26"/>
    <x v="26"/>
    <x v="7"/>
    <x v="8"/>
    <x v="8"/>
    <x v="0"/>
  </r>
  <r>
    <x v="0"/>
    <x v="0"/>
    <x v="0"/>
    <x v="0"/>
    <x v="0"/>
    <x v="11"/>
    <x v="11"/>
    <x v="22"/>
    <x v="37"/>
    <x v="36"/>
    <x v="0"/>
  </r>
  <r>
    <x v="0"/>
    <x v="0"/>
    <x v="0"/>
    <x v="3"/>
    <x v="0"/>
    <x v="25"/>
    <x v="25"/>
    <x v="7"/>
    <x v="30"/>
    <x v="29"/>
    <x v="0"/>
  </r>
  <r>
    <x v="0"/>
    <x v="0"/>
    <x v="0"/>
    <x v="0"/>
    <x v="0"/>
    <x v="11"/>
    <x v="11"/>
    <x v="13"/>
    <x v="32"/>
    <x v="31"/>
    <x v="0"/>
  </r>
  <r>
    <x v="0"/>
    <x v="0"/>
    <x v="0"/>
    <x v="1"/>
    <x v="0"/>
    <x v="11"/>
    <x v="11"/>
    <x v="9"/>
    <x v="23"/>
    <x v="22"/>
    <x v="0"/>
  </r>
  <r>
    <x v="0"/>
    <x v="0"/>
    <x v="0"/>
    <x v="3"/>
    <x v="0"/>
    <x v="40"/>
    <x v="40"/>
    <x v="33"/>
    <x v="36"/>
    <x v="35"/>
    <x v="0"/>
  </r>
  <r>
    <x v="0"/>
    <x v="0"/>
    <x v="0"/>
    <x v="2"/>
    <x v="0"/>
    <x v="2"/>
    <x v="2"/>
    <x v="57"/>
    <x v="16"/>
    <x v="16"/>
    <x v="0"/>
  </r>
  <r>
    <x v="0"/>
    <x v="0"/>
    <x v="2"/>
    <x v="1"/>
    <x v="6"/>
    <x v="18"/>
    <x v="18"/>
    <x v="9"/>
    <x v="33"/>
    <x v="32"/>
    <x v="0"/>
  </r>
  <r>
    <x v="0"/>
    <x v="0"/>
    <x v="0"/>
    <x v="0"/>
    <x v="7"/>
    <x v="18"/>
    <x v="18"/>
    <x v="16"/>
    <x v="17"/>
    <x v="1"/>
    <x v="0"/>
  </r>
  <r>
    <x v="0"/>
    <x v="1"/>
    <x v="1"/>
    <x v="1"/>
    <x v="8"/>
    <x v="3"/>
    <x v="3"/>
    <x v="58"/>
    <x v="3"/>
    <x v="3"/>
    <x v="0"/>
  </r>
  <r>
    <x v="0"/>
    <x v="0"/>
    <x v="2"/>
    <x v="2"/>
    <x v="10"/>
    <x v="38"/>
    <x v="38"/>
    <x v="49"/>
    <x v="4"/>
    <x v="4"/>
    <x v="0"/>
  </r>
  <r>
    <x v="0"/>
    <x v="0"/>
    <x v="0"/>
    <x v="1"/>
    <x v="0"/>
    <x v="9"/>
    <x v="9"/>
    <x v="23"/>
    <x v="8"/>
    <x v="8"/>
    <x v="0"/>
  </r>
  <r>
    <x v="0"/>
    <x v="0"/>
    <x v="0"/>
    <x v="4"/>
    <x v="0"/>
    <x v="9"/>
    <x v="9"/>
    <x v="59"/>
    <x v="29"/>
    <x v="28"/>
    <x v="0"/>
  </r>
  <r>
    <x v="0"/>
    <x v="0"/>
    <x v="0"/>
    <x v="0"/>
    <x v="0"/>
    <x v="34"/>
    <x v="34"/>
    <x v="60"/>
    <x v="22"/>
    <x v="21"/>
    <x v="0"/>
  </r>
  <r>
    <x v="0"/>
    <x v="0"/>
    <x v="0"/>
    <x v="3"/>
    <x v="0"/>
    <x v="11"/>
    <x v="11"/>
    <x v="7"/>
    <x v="11"/>
    <x v="11"/>
    <x v="0"/>
  </r>
  <r>
    <x v="0"/>
    <x v="0"/>
    <x v="0"/>
    <x v="2"/>
    <x v="0"/>
    <x v="11"/>
    <x v="11"/>
    <x v="31"/>
    <x v="32"/>
    <x v="31"/>
    <x v="0"/>
  </r>
  <r>
    <x v="0"/>
    <x v="0"/>
    <x v="2"/>
    <x v="4"/>
    <x v="2"/>
    <x v="27"/>
    <x v="27"/>
    <x v="61"/>
    <x v="25"/>
    <x v="24"/>
    <x v="0"/>
  </r>
  <r>
    <x v="0"/>
    <x v="0"/>
    <x v="2"/>
    <x v="1"/>
    <x v="4"/>
    <x v="27"/>
    <x v="27"/>
    <x v="62"/>
    <x v="25"/>
    <x v="24"/>
    <x v="0"/>
  </r>
  <r>
    <x v="0"/>
    <x v="1"/>
    <x v="1"/>
    <x v="0"/>
    <x v="1"/>
    <x v="3"/>
    <x v="3"/>
    <x v="63"/>
    <x v="3"/>
    <x v="3"/>
    <x v="0"/>
  </r>
  <r>
    <x v="0"/>
    <x v="0"/>
    <x v="0"/>
    <x v="0"/>
    <x v="0"/>
    <x v="8"/>
    <x v="8"/>
    <x v="32"/>
    <x v="29"/>
    <x v="28"/>
    <x v="0"/>
  </r>
  <r>
    <x v="0"/>
    <x v="0"/>
    <x v="0"/>
    <x v="4"/>
    <x v="0"/>
    <x v="40"/>
    <x v="40"/>
    <x v="50"/>
    <x v="38"/>
    <x v="37"/>
    <x v="0"/>
  </r>
  <r>
    <x v="0"/>
    <x v="0"/>
    <x v="0"/>
    <x v="2"/>
    <x v="0"/>
    <x v="20"/>
    <x v="20"/>
    <x v="19"/>
    <x v="30"/>
    <x v="29"/>
    <x v="0"/>
  </r>
  <r>
    <x v="0"/>
    <x v="0"/>
    <x v="0"/>
    <x v="3"/>
    <x v="0"/>
    <x v="10"/>
    <x v="10"/>
    <x v="36"/>
    <x v="10"/>
    <x v="10"/>
    <x v="0"/>
  </r>
  <r>
    <x v="0"/>
    <x v="0"/>
    <x v="0"/>
    <x v="4"/>
    <x v="0"/>
    <x v="23"/>
    <x v="23"/>
    <x v="31"/>
    <x v="11"/>
    <x v="11"/>
    <x v="0"/>
  </r>
  <r>
    <x v="0"/>
    <x v="0"/>
    <x v="0"/>
    <x v="1"/>
    <x v="0"/>
    <x v="31"/>
    <x v="31"/>
    <x v="7"/>
    <x v="35"/>
    <x v="34"/>
    <x v="0"/>
  </r>
  <r>
    <x v="0"/>
    <x v="0"/>
    <x v="0"/>
    <x v="3"/>
    <x v="0"/>
    <x v="28"/>
    <x v="28"/>
    <x v="22"/>
    <x v="0"/>
    <x v="0"/>
    <x v="0"/>
  </r>
  <r>
    <x v="0"/>
    <x v="0"/>
    <x v="0"/>
    <x v="1"/>
    <x v="0"/>
    <x v="2"/>
    <x v="2"/>
    <x v="64"/>
    <x v="16"/>
    <x v="16"/>
    <x v="0"/>
  </r>
  <r>
    <x v="0"/>
    <x v="0"/>
    <x v="0"/>
    <x v="3"/>
    <x v="0"/>
    <x v="2"/>
    <x v="2"/>
    <x v="65"/>
    <x v="2"/>
    <x v="2"/>
    <x v="0"/>
  </r>
  <r>
    <x v="0"/>
    <x v="0"/>
    <x v="2"/>
    <x v="2"/>
    <x v="10"/>
    <x v="14"/>
    <x v="14"/>
    <x v="49"/>
    <x v="13"/>
    <x v="13"/>
    <x v="0"/>
  </r>
  <r>
    <x v="0"/>
    <x v="1"/>
    <x v="3"/>
    <x v="0"/>
    <x v="13"/>
    <x v="5"/>
    <x v="5"/>
    <x v="66"/>
    <x v="5"/>
    <x v="5"/>
    <x v="0"/>
  </r>
  <r>
    <x v="0"/>
    <x v="0"/>
    <x v="0"/>
    <x v="4"/>
    <x v="0"/>
    <x v="0"/>
    <x v="0"/>
    <x v="46"/>
    <x v="9"/>
    <x v="9"/>
    <x v="0"/>
  </r>
  <r>
    <x v="0"/>
    <x v="0"/>
    <x v="0"/>
    <x v="2"/>
    <x v="0"/>
    <x v="29"/>
    <x v="29"/>
    <x v="67"/>
    <x v="28"/>
    <x v="27"/>
    <x v="0"/>
  </r>
  <r>
    <x v="0"/>
    <x v="0"/>
    <x v="0"/>
    <x v="2"/>
    <x v="0"/>
    <x v="30"/>
    <x v="30"/>
    <x v="33"/>
    <x v="22"/>
    <x v="21"/>
    <x v="0"/>
  </r>
  <r>
    <x v="0"/>
    <x v="0"/>
    <x v="0"/>
    <x v="0"/>
    <x v="0"/>
    <x v="23"/>
    <x v="23"/>
    <x v="40"/>
    <x v="11"/>
    <x v="11"/>
    <x v="0"/>
  </r>
  <r>
    <x v="0"/>
    <x v="0"/>
    <x v="0"/>
    <x v="2"/>
    <x v="0"/>
    <x v="12"/>
    <x v="12"/>
    <x v="68"/>
    <x v="12"/>
    <x v="12"/>
    <x v="0"/>
  </r>
  <r>
    <x v="0"/>
    <x v="0"/>
    <x v="0"/>
    <x v="2"/>
    <x v="0"/>
    <x v="24"/>
    <x v="24"/>
    <x v="26"/>
    <x v="1"/>
    <x v="1"/>
    <x v="0"/>
  </r>
  <r>
    <x v="0"/>
    <x v="1"/>
    <x v="1"/>
    <x v="5"/>
    <x v="8"/>
    <x v="3"/>
    <x v="3"/>
    <x v="69"/>
    <x v="3"/>
    <x v="3"/>
    <x v="0"/>
  </r>
  <r>
    <x v="0"/>
    <x v="0"/>
    <x v="2"/>
    <x v="0"/>
    <x v="2"/>
    <x v="38"/>
    <x v="38"/>
    <x v="4"/>
    <x v="4"/>
    <x v="4"/>
    <x v="0"/>
  </r>
  <r>
    <x v="0"/>
    <x v="0"/>
    <x v="2"/>
    <x v="3"/>
    <x v="11"/>
    <x v="18"/>
    <x v="18"/>
    <x v="51"/>
    <x v="39"/>
    <x v="29"/>
    <x v="0"/>
  </r>
  <r>
    <x v="0"/>
    <x v="0"/>
    <x v="0"/>
    <x v="2"/>
    <x v="0"/>
    <x v="9"/>
    <x v="9"/>
    <x v="52"/>
    <x v="8"/>
    <x v="8"/>
    <x v="0"/>
  </r>
  <r>
    <x v="0"/>
    <x v="0"/>
    <x v="0"/>
    <x v="3"/>
    <x v="0"/>
    <x v="11"/>
    <x v="11"/>
    <x v="24"/>
    <x v="27"/>
    <x v="26"/>
    <x v="0"/>
  </r>
  <r>
    <x v="0"/>
    <x v="0"/>
    <x v="0"/>
    <x v="1"/>
    <x v="0"/>
    <x v="20"/>
    <x v="20"/>
    <x v="33"/>
    <x v="30"/>
    <x v="29"/>
    <x v="0"/>
  </r>
  <r>
    <x v="0"/>
    <x v="0"/>
    <x v="0"/>
    <x v="4"/>
    <x v="0"/>
    <x v="9"/>
    <x v="9"/>
    <x v="36"/>
    <x v="22"/>
    <x v="21"/>
    <x v="0"/>
  </r>
  <r>
    <x v="0"/>
    <x v="0"/>
    <x v="0"/>
    <x v="0"/>
    <x v="0"/>
    <x v="39"/>
    <x v="39"/>
    <x v="70"/>
    <x v="12"/>
    <x v="12"/>
    <x v="0"/>
  </r>
  <r>
    <x v="0"/>
    <x v="0"/>
    <x v="0"/>
    <x v="3"/>
    <x v="6"/>
    <x v="18"/>
    <x v="18"/>
    <x v="9"/>
    <x v="17"/>
    <x v="1"/>
    <x v="0"/>
  </r>
  <r>
    <x v="0"/>
    <x v="0"/>
    <x v="0"/>
    <x v="1"/>
    <x v="0"/>
    <x v="10"/>
    <x v="10"/>
    <x v="14"/>
    <x v="7"/>
    <x v="7"/>
    <x v="0"/>
  </r>
  <r>
    <x v="0"/>
    <x v="0"/>
    <x v="0"/>
    <x v="1"/>
    <x v="0"/>
    <x v="30"/>
    <x v="30"/>
    <x v="24"/>
    <x v="22"/>
    <x v="21"/>
    <x v="0"/>
  </r>
  <r>
    <x v="0"/>
    <x v="0"/>
    <x v="0"/>
    <x v="3"/>
    <x v="0"/>
    <x v="21"/>
    <x v="21"/>
    <x v="36"/>
    <x v="10"/>
    <x v="10"/>
    <x v="0"/>
  </r>
  <r>
    <x v="0"/>
    <x v="0"/>
    <x v="0"/>
    <x v="0"/>
    <x v="0"/>
    <x v="31"/>
    <x v="31"/>
    <x v="50"/>
    <x v="35"/>
    <x v="34"/>
    <x v="0"/>
  </r>
  <r>
    <x v="0"/>
    <x v="0"/>
    <x v="0"/>
    <x v="1"/>
    <x v="0"/>
    <x v="17"/>
    <x v="17"/>
    <x v="10"/>
    <x v="1"/>
    <x v="1"/>
    <x v="0"/>
  </r>
  <r>
    <x v="0"/>
    <x v="0"/>
    <x v="2"/>
    <x v="3"/>
    <x v="2"/>
    <x v="15"/>
    <x v="15"/>
    <x v="31"/>
    <x v="14"/>
    <x v="14"/>
    <x v="0"/>
  </r>
  <r>
    <x v="0"/>
    <x v="0"/>
    <x v="0"/>
    <x v="4"/>
    <x v="0"/>
    <x v="23"/>
    <x v="23"/>
    <x v="10"/>
    <x v="37"/>
    <x v="36"/>
    <x v="0"/>
  </r>
  <r>
    <x v="0"/>
    <x v="0"/>
    <x v="0"/>
    <x v="0"/>
    <x v="0"/>
    <x v="10"/>
    <x v="10"/>
    <x v="48"/>
    <x v="10"/>
    <x v="10"/>
    <x v="0"/>
  </r>
  <r>
    <x v="0"/>
    <x v="0"/>
    <x v="0"/>
    <x v="1"/>
    <x v="0"/>
    <x v="23"/>
    <x v="23"/>
    <x v="10"/>
    <x v="32"/>
    <x v="31"/>
    <x v="0"/>
  </r>
  <r>
    <x v="0"/>
    <x v="0"/>
    <x v="0"/>
    <x v="4"/>
    <x v="0"/>
    <x v="26"/>
    <x v="26"/>
    <x v="3"/>
    <x v="0"/>
    <x v="0"/>
    <x v="0"/>
  </r>
  <r>
    <x v="0"/>
    <x v="0"/>
    <x v="0"/>
    <x v="4"/>
    <x v="0"/>
    <x v="28"/>
    <x v="28"/>
    <x v="3"/>
    <x v="0"/>
    <x v="0"/>
    <x v="0"/>
  </r>
  <r>
    <x v="0"/>
    <x v="0"/>
    <x v="0"/>
    <x v="2"/>
    <x v="0"/>
    <x v="1"/>
    <x v="1"/>
    <x v="26"/>
    <x v="1"/>
    <x v="1"/>
    <x v="0"/>
  </r>
  <r>
    <x v="0"/>
    <x v="0"/>
    <x v="2"/>
    <x v="2"/>
    <x v="10"/>
    <x v="13"/>
    <x v="13"/>
    <x v="49"/>
    <x v="13"/>
    <x v="13"/>
    <x v="0"/>
  </r>
  <r>
    <x v="0"/>
    <x v="0"/>
    <x v="2"/>
    <x v="0"/>
    <x v="11"/>
    <x v="37"/>
    <x v="37"/>
    <x v="55"/>
    <x v="14"/>
    <x v="14"/>
    <x v="0"/>
  </r>
  <r>
    <x v="0"/>
    <x v="0"/>
    <x v="0"/>
    <x v="4"/>
    <x v="0"/>
    <x v="10"/>
    <x v="10"/>
    <x v="7"/>
    <x v="6"/>
    <x v="6"/>
    <x v="0"/>
  </r>
  <r>
    <x v="0"/>
    <x v="0"/>
    <x v="2"/>
    <x v="0"/>
    <x v="0"/>
    <x v="25"/>
    <x v="25"/>
    <x v="22"/>
    <x v="7"/>
    <x v="7"/>
    <x v="0"/>
  </r>
  <r>
    <x v="0"/>
    <x v="0"/>
    <x v="0"/>
    <x v="0"/>
    <x v="0"/>
    <x v="25"/>
    <x v="25"/>
    <x v="36"/>
    <x v="7"/>
    <x v="7"/>
    <x v="0"/>
  </r>
  <r>
    <x v="0"/>
    <x v="0"/>
    <x v="0"/>
    <x v="3"/>
    <x v="0"/>
    <x v="10"/>
    <x v="10"/>
    <x v="7"/>
    <x v="7"/>
    <x v="7"/>
    <x v="0"/>
  </r>
  <r>
    <x v="0"/>
    <x v="0"/>
    <x v="0"/>
    <x v="1"/>
    <x v="0"/>
    <x v="28"/>
    <x v="28"/>
    <x v="7"/>
    <x v="9"/>
    <x v="9"/>
    <x v="0"/>
  </r>
  <r>
    <x v="0"/>
    <x v="0"/>
    <x v="0"/>
    <x v="4"/>
    <x v="0"/>
    <x v="7"/>
    <x v="7"/>
    <x v="10"/>
    <x v="10"/>
    <x v="10"/>
    <x v="0"/>
  </r>
  <r>
    <x v="0"/>
    <x v="0"/>
    <x v="0"/>
    <x v="2"/>
    <x v="0"/>
    <x v="35"/>
    <x v="35"/>
    <x v="41"/>
    <x v="0"/>
    <x v="0"/>
    <x v="0"/>
  </r>
  <r>
    <x v="0"/>
    <x v="0"/>
    <x v="0"/>
    <x v="0"/>
    <x v="0"/>
    <x v="26"/>
    <x v="26"/>
    <x v="0"/>
    <x v="0"/>
    <x v="0"/>
    <x v="0"/>
  </r>
  <r>
    <x v="0"/>
    <x v="0"/>
    <x v="0"/>
    <x v="0"/>
    <x v="0"/>
    <x v="12"/>
    <x v="12"/>
    <x v="70"/>
    <x v="12"/>
    <x v="12"/>
    <x v="0"/>
  </r>
  <r>
    <x v="0"/>
    <x v="0"/>
    <x v="0"/>
    <x v="4"/>
    <x v="0"/>
    <x v="39"/>
    <x v="39"/>
    <x v="24"/>
    <x v="12"/>
    <x v="12"/>
    <x v="0"/>
  </r>
  <r>
    <x v="0"/>
    <x v="1"/>
    <x v="1"/>
    <x v="4"/>
    <x v="8"/>
    <x v="3"/>
    <x v="3"/>
    <x v="71"/>
    <x v="3"/>
    <x v="3"/>
    <x v="0"/>
  </r>
  <r>
    <x v="0"/>
    <x v="0"/>
    <x v="0"/>
    <x v="0"/>
    <x v="0"/>
    <x v="11"/>
    <x v="11"/>
    <x v="22"/>
    <x v="27"/>
    <x v="26"/>
    <x v="0"/>
  </r>
  <r>
    <x v="0"/>
    <x v="0"/>
    <x v="0"/>
    <x v="3"/>
    <x v="0"/>
    <x v="2"/>
    <x v="2"/>
    <x v="7"/>
    <x v="28"/>
    <x v="27"/>
    <x v="0"/>
  </r>
  <r>
    <x v="0"/>
    <x v="0"/>
    <x v="0"/>
    <x v="4"/>
    <x v="0"/>
    <x v="23"/>
    <x v="23"/>
    <x v="47"/>
    <x v="20"/>
    <x v="19"/>
    <x v="0"/>
  </r>
  <r>
    <x v="0"/>
    <x v="0"/>
    <x v="0"/>
    <x v="4"/>
    <x v="0"/>
    <x v="16"/>
    <x v="16"/>
    <x v="46"/>
    <x v="21"/>
    <x v="20"/>
    <x v="0"/>
  </r>
  <r>
    <x v="0"/>
    <x v="0"/>
    <x v="0"/>
    <x v="1"/>
    <x v="0"/>
    <x v="31"/>
    <x v="31"/>
    <x v="24"/>
    <x v="22"/>
    <x v="21"/>
    <x v="0"/>
  </r>
  <r>
    <x v="0"/>
    <x v="0"/>
    <x v="2"/>
    <x v="0"/>
    <x v="0"/>
    <x v="8"/>
    <x v="8"/>
    <x v="7"/>
    <x v="8"/>
    <x v="8"/>
    <x v="0"/>
  </r>
  <r>
    <x v="0"/>
    <x v="0"/>
    <x v="0"/>
    <x v="2"/>
    <x v="0"/>
    <x v="26"/>
    <x v="26"/>
    <x v="55"/>
    <x v="9"/>
    <x v="9"/>
    <x v="0"/>
  </r>
  <r>
    <x v="0"/>
    <x v="0"/>
    <x v="0"/>
    <x v="2"/>
    <x v="0"/>
    <x v="0"/>
    <x v="0"/>
    <x v="55"/>
    <x v="9"/>
    <x v="9"/>
    <x v="0"/>
  </r>
  <r>
    <x v="0"/>
    <x v="0"/>
    <x v="0"/>
    <x v="1"/>
    <x v="0"/>
    <x v="35"/>
    <x v="35"/>
    <x v="7"/>
    <x v="9"/>
    <x v="9"/>
    <x v="0"/>
  </r>
  <r>
    <x v="0"/>
    <x v="0"/>
    <x v="0"/>
    <x v="3"/>
    <x v="0"/>
    <x v="0"/>
    <x v="0"/>
    <x v="29"/>
    <x v="9"/>
    <x v="9"/>
    <x v="0"/>
  </r>
  <r>
    <x v="0"/>
    <x v="0"/>
    <x v="0"/>
    <x v="4"/>
    <x v="0"/>
    <x v="2"/>
    <x v="2"/>
    <x v="7"/>
    <x v="28"/>
    <x v="27"/>
    <x v="0"/>
  </r>
  <r>
    <x v="0"/>
    <x v="0"/>
    <x v="0"/>
    <x v="2"/>
    <x v="0"/>
    <x v="23"/>
    <x v="23"/>
    <x v="29"/>
    <x v="11"/>
    <x v="11"/>
    <x v="0"/>
  </r>
  <r>
    <x v="0"/>
    <x v="0"/>
    <x v="0"/>
    <x v="2"/>
    <x v="0"/>
    <x v="31"/>
    <x v="31"/>
    <x v="56"/>
    <x v="35"/>
    <x v="34"/>
    <x v="0"/>
  </r>
  <r>
    <x v="0"/>
    <x v="0"/>
    <x v="0"/>
    <x v="2"/>
    <x v="0"/>
    <x v="17"/>
    <x v="17"/>
    <x v="26"/>
    <x v="1"/>
    <x v="1"/>
    <x v="0"/>
  </r>
  <r>
    <x v="0"/>
    <x v="0"/>
    <x v="2"/>
    <x v="4"/>
    <x v="6"/>
    <x v="18"/>
    <x v="18"/>
    <x v="9"/>
    <x v="33"/>
    <x v="32"/>
    <x v="0"/>
  </r>
  <r>
    <x v="0"/>
    <x v="0"/>
    <x v="0"/>
    <x v="0"/>
    <x v="6"/>
    <x v="18"/>
    <x v="18"/>
    <x v="9"/>
    <x v="17"/>
    <x v="1"/>
    <x v="0"/>
  </r>
  <r>
    <x v="0"/>
    <x v="0"/>
    <x v="2"/>
    <x v="4"/>
    <x v="2"/>
    <x v="36"/>
    <x v="36"/>
    <x v="72"/>
    <x v="34"/>
    <x v="33"/>
    <x v="0"/>
  </r>
  <r>
    <x v="0"/>
    <x v="0"/>
    <x v="0"/>
    <x v="4"/>
    <x v="0"/>
    <x v="7"/>
    <x v="7"/>
    <x v="7"/>
    <x v="6"/>
    <x v="6"/>
    <x v="0"/>
  </r>
  <r>
    <x v="0"/>
    <x v="0"/>
    <x v="0"/>
    <x v="2"/>
    <x v="0"/>
    <x v="10"/>
    <x v="10"/>
    <x v="73"/>
    <x v="7"/>
    <x v="7"/>
    <x v="0"/>
  </r>
  <r>
    <x v="0"/>
    <x v="0"/>
    <x v="0"/>
    <x v="3"/>
    <x v="0"/>
    <x v="9"/>
    <x v="9"/>
    <x v="10"/>
    <x v="8"/>
    <x v="8"/>
    <x v="0"/>
  </r>
  <r>
    <x v="0"/>
    <x v="0"/>
    <x v="0"/>
    <x v="1"/>
    <x v="0"/>
    <x v="26"/>
    <x v="26"/>
    <x v="7"/>
    <x v="9"/>
    <x v="9"/>
    <x v="0"/>
  </r>
  <r>
    <x v="0"/>
    <x v="0"/>
    <x v="0"/>
    <x v="1"/>
    <x v="0"/>
    <x v="9"/>
    <x v="9"/>
    <x v="31"/>
    <x v="9"/>
    <x v="9"/>
    <x v="0"/>
  </r>
  <r>
    <x v="0"/>
    <x v="0"/>
    <x v="0"/>
    <x v="0"/>
    <x v="0"/>
    <x v="9"/>
    <x v="9"/>
    <x v="32"/>
    <x v="29"/>
    <x v="28"/>
    <x v="0"/>
  </r>
  <r>
    <x v="0"/>
    <x v="0"/>
    <x v="0"/>
    <x v="1"/>
    <x v="0"/>
    <x v="9"/>
    <x v="9"/>
    <x v="38"/>
    <x v="29"/>
    <x v="28"/>
    <x v="0"/>
  </r>
  <r>
    <x v="0"/>
    <x v="0"/>
    <x v="2"/>
    <x v="0"/>
    <x v="0"/>
    <x v="25"/>
    <x v="25"/>
    <x v="74"/>
    <x v="19"/>
    <x v="18"/>
    <x v="0"/>
  </r>
  <r>
    <x v="0"/>
    <x v="0"/>
    <x v="0"/>
    <x v="4"/>
    <x v="0"/>
    <x v="11"/>
    <x v="11"/>
    <x v="31"/>
    <x v="11"/>
    <x v="11"/>
    <x v="0"/>
  </r>
  <r>
    <x v="0"/>
    <x v="0"/>
    <x v="0"/>
    <x v="4"/>
    <x v="0"/>
    <x v="30"/>
    <x v="30"/>
    <x v="22"/>
    <x v="35"/>
    <x v="34"/>
    <x v="0"/>
  </r>
  <r>
    <x v="0"/>
    <x v="0"/>
    <x v="0"/>
    <x v="3"/>
    <x v="0"/>
    <x v="26"/>
    <x v="26"/>
    <x v="22"/>
    <x v="0"/>
    <x v="0"/>
    <x v="0"/>
  </r>
  <r>
    <x v="0"/>
    <x v="0"/>
    <x v="0"/>
    <x v="3"/>
    <x v="0"/>
    <x v="12"/>
    <x v="12"/>
    <x v="7"/>
    <x v="12"/>
    <x v="12"/>
    <x v="0"/>
  </r>
  <r>
    <x v="0"/>
    <x v="0"/>
    <x v="0"/>
    <x v="3"/>
    <x v="0"/>
    <x v="17"/>
    <x v="17"/>
    <x v="26"/>
    <x v="1"/>
    <x v="1"/>
    <x v="0"/>
  </r>
  <r>
    <x v="0"/>
    <x v="0"/>
    <x v="0"/>
    <x v="4"/>
    <x v="0"/>
    <x v="40"/>
    <x v="40"/>
    <x v="75"/>
    <x v="36"/>
    <x v="35"/>
    <x v="0"/>
  </r>
  <r>
    <x v="0"/>
    <x v="0"/>
    <x v="0"/>
    <x v="0"/>
    <x v="7"/>
    <x v="13"/>
    <x v="13"/>
    <x v="46"/>
    <x v="13"/>
    <x v="13"/>
    <x v="0"/>
  </r>
  <r>
    <x v="0"/>
    <x v="0"/>
    <x v="2"/>
    <x v="0"/>
    <x v="4"/>
    <x v="14"/>
    <x v="14"/>
    <x v="20"/>
    <x v="40"/>
    <x v="38"/>
    <x v="0"/>
  </r>
  <r>
    <x v="0"/>
    <x v="0"/>
    <x v="0"/>
    <x v="3"/>
    <x v="0"/>
    <x v="19"/>
    <x v="19"/>
    <x v="76"/>
    <x v="18"/>
    <x v="17"/>
    <x v="0"/>
  </r>
  <r>
    <x v="0"/>
    <x v="0"/>
    <x v="0"/>
    <x v="2"/>
    <x v="0"/>
    <x v="2"/>
    <x v="2"/>
    <x v="7"/>
    <x v="28"/>
    <x v="27"/>
    <x v="0"/>
  </r>
  <r>
    <x v="0"/>
    <x v="0"/>
    <x v="0"/>
    <x v="3"/>
    <x v="0"/>
    <x v="23"/>
    <x v="23"/>
    <x v="11"/>
    <x v="32"/>
    <x v="31"/>
    <x v="0"/>
  </r>
  <r>
    <x v="0"/>
    <x v="0"/>
    <x v="0"/>
    <x v="1"/>
    <x v="0"/>
    <x v="34"/>
    <x v="34"/>
    <x v="7"/>
    <x v="35"/>
    <x v="34"/>
    <x v="0"/>
  </r>
  <r>
    <x v="0"/>
    <x v="0"/>
    <x v="0"/>
    <x v="1"/>
    <x v="0"/>
    <x v="0"/>
    <x v="0"/>
    <x v="47"/>
    <x v="0"/>
    <x v="0"/>
    <x v="0"/>
  </r>
  <r>
    <x v="0"/>
    <x v="0"/>
    <x v="2"/>
    <x v="0"/>
    <x v="2"/>
    <x v="18"/>
    <x v="18"/>
    <x v="77"/>
    <x v="39"/>
    <x v="29"/>
    <x v="0"/>
  </r>
  <r>
    <x v="0"/>
    <x v="0"/>
    <x v="2"/>
    <x v="1"/>
    <x v="4"/>
    <x v="37"/>
    <x v="37"/>
    <x v="4"/>
    <x v="14"/>
    <x v="14"/>
    <x v="0"/>
  </r>
  <r>
    <x v="0"/>
    <x v="0"/>
    <x v="0"/>
    <x v="1"/>
    <x v="0"/>
    <x v="19"/>
    <x v="19"/>
    <x v="7"/>
    <x v="18"/>
    <x v="17"/>
    <x v="0"/>
  </r>
  <r>
    <x v="0"/>
    <x v="0"/>
    <x v="0"/>
    <x v="2"/>
    <x v="0"/>
    <x v="7"/>
    <x v="7"/>
    <x v="73"/>
    <x v="7"/>
    <x v="7"/>
    <x v="0"/>
  </r>
  <r>
    <x v="0"/>
    <x v="0"/>
    <x v="0"/>
    <x v="3"/>
    <x v="0"/>
    <x v="16"/>
    <x v="16"/>
    <x v="78"/>
    <x v="15"/>
    <x v="15"/>
    <x v="0"/>
  </r>
  <r>
    <x v="0"/>
    <x v="0"/>
    <x v="0"/>
    <x v="4"/>
    <x v="0"/>
    <x v="23"/>
    <x v="23"/>
    <x v="45"/>
    <x v="32"/>
    <x v="31"/>
    <x v="0"/>
  </r>
  <r>
    <x v="0"/>
    <x v="0"/>
    <x v="0"/>
    <x v="2"/>
    <x v="0"/>
    <x v="23"/>
    <x v="23"/>
    <x v="79"/>
    <x v="23"/>
    <x v="22"/>
    <x v="0"/>
  </r>
  <r>
    <x v="0"/>
    <x v="0"/>
    <x v="0"/>
    <x v="1"/>
    <x v="6"/>
    <x v="18"/>
    <x v="18"/>
    <x v="9"/>
    <x v="17"/>
    <x v="1"/>
    <x v="0"/>
  </r>
  <r>
    <x v="0"/>
    <x v="0"/>
    <x v="2"/>
    <x v="0"/>
    <x v="2"/>
    <x v="37"/>
    <x v="37"/>
    <x v="50"/>
    <x v="14"/>
    <x v="14"/>
    <x v="0"/>
  </r>
  <r>
    <x v="0"/>
    <x v="0"/>
    <x v="0"/>
    <x v="0"/>
    <x v="0"/>
    <x v="20"/>
    <x v="20"/>
    <x v="13"/>
    <x v="30"/>
    <x v="29"/>
    <x v="0"/>
  </r>
  <r>
    <x v="0"/>
    <x v="0"/>
    <x v="0"/>
    <x v="0"/>
    <x v="0"/>
    <x v="25"/>
    <x v="25"/>
    <x v="80"/>
    <x v="19"/>
    <x v="18"/>
    <x v="0"/>
  </r>
  <r>
    <x v="0"/>
    <x v="0"/>
    <x v="0"/>
    <x v="4"/>
    <x v="0"/>
    <x v="25"/>
    <x v="25"/>
    <x v="36"/>
    <x v="19"/>
    <x v="18"/>
    <x v="0"/>
  </r>
  <r>
    <x v="0"/>
    <x v="0"/>
    <x v="0"/>
    <x v="2"/>
    <x v="0"/>
    <x v="11"/>
    <x v="11"/>
    <x v="81"/>
    <x v="20"/>
    <x v="19"/>
    <x v="0"/>
  </r>
  <r>
    <x v="0"/>
    <x v="0"/>
    <x v="0"/>
    <x v="0"/>
    <x v="0"/>
    <x v="34"/>
    <x v="34"/>
    <x v="50"/>
    <x v="35"/>
    <x v="34"/>
    <x v="0"/>
  </r>
  <r>
    <x v="0"/>
    <x v="0"/>
    <x v="0"/>
    <x v="3"/>
    <x v="0"/>
    <x v="0"/>
    <x v="0"/>
    <x v="22"/>
    <x v="0"/>
    <x v="0"/>
    <x v="0"/>
  </r>
  <r>
    <x v="0"/>
    <x v="0"/>
    <x v="0"/>
    <x v="0"/>
    <x v="0"/>
    <x v="11"/>
    <x v="11"/>
    <x v="13"/>
    <x v="23"/>
    <x v="22"/>
    <x v="0"/>
  </r>
  <r>
    <x v="0"/>
    <x v="0"/>
    <x v="0"/>
    <x v="0"/>
    <x v="0"/>
    <x v="32"/>
    <x v="32"/>
    <x v="78"/>
    <x v="31"/>
    <x v="30"/>
    <x v="0"/>
  </r>
  <r>
    <x v="0"/>
    <x v="0"/>
    <x v="0"/>
    <x v="2"/>
    <x v="0"/>
    <x v="2"/>
    <x v="2"/>
    <x v="82"/>
    <x v="2"/>
    <x v="2"/>
    <x v="0"/>
  </r>
  <r>
    <x v="0"/>
    <x v="0"/>
    <x v="2"/>
    <x v="4"/>
    <x v="2"/>
    <x v="13"/>
    <x v="13"/>
    <x v="72"/>
    <x v="13"/>
    <x v="13"/>
    <x v="0"/>
  </r>
  <r>
    <x v="0"/>
    <x v="0"/>
    <x v="2"/>
    <x v="0"/>
    <x v="11"/>
    <x v="38"/>
    <x v="38"/>
    <x v="23"/>
    <x v="4"/>
    <x v="4"/>
    <x v="0"/>
  </r>
  <r>
    <x v="0"/>
    <x v="0"/>
    <x v="0"/>
    <x v="4"/>
    <x v="0"/>
    <x v="8"/>
    <x v="8"/>
    <x v="79"/>
    <x v="8"/>
    <x v="8"/>
    <x v="0"/>
  </r>
  <r>
    <x v="0"/>
    <x v="0"/>
    <x v="0"/>
    <x v="2"/>
    <x v="0"/>
    <x v="16"/>
    <x v="16"/>
    <x v="14"/>
    <x v="21"/>
    <x v="20"/>
    <x v="0"/>
  </r>
  <r>
    <x v="0"/>
    <x v="0"/>
    <x v="0"/>
    <x v="4"/>
    <x v="0"/>
    <x v="21"/>
    <x v="21"/>
    <x v="10"/>
    <x v="10"/>
    <x v="10"/>
    <x v="0"/>
  </r>
  <r>
    <x v="0"/>
    <x v="0"/>
    <x v="0"/>
    <x v="0"/>
    <x v="0"/>
    <x v="35"/>
    <x v="35"/>
    <x v="0"/>
    <x v="0"/>
    <x v="0"/>
    <x v="0"/>
  </r>
  <r>
    <x v="0"/>
    <x v="0"/>
    <x v="0"/>
    <x v="3"/>
    <x v="0"/>
    <x v="35"/>
    <x v="35"/>
    <x v="22"/>
    <x v="0"/>
    <x v="0"/>
    <x v="0"/>
  </r>
  <r>
    <x v="0"/>
    <x v="0"/>
    <x v="0"/>
    <x v="1"/>
    <x v="0"/>
    <x v="24"/>
    <x v="24"/>
    <x v="10"/>
    <x v="1"/>
    <x v="1"/>
    <x v="0"/>
  </r>
  <r>
    <x v="0"/>
    <x v="0"/>
    <x v="2"/>
    <x v="2"/>
    <x v="4"/>
    <x v="36"/>
    <x v="36"/>
    <x v="73"/>
    <x v="34"/>
    <x v="33"/>
    <x v="0"/>
  </r>
  <r>
    <x v="0"/>
    <x v="0"/>
    <x v="2"/>
    <x v="0"/>
    <x v="11"/>
    <x v="4"/>
    <x v="4"/>
    <x v="23"/>
    <x v="4"/>
    <x v="4"/>
    <x v="0"/>
  </r>
  <r>
    <x v="0"/>
    <x v="0"/>
    <x v="2"/>
    <x v="0"/>
    <x v="4"/>
    <x v="13"/>
    <x v="13"/>
    <x v="20"/>
    <x v="40"/>
    <x v="38"/>
    <x v="0"/>
  </r>
  <r>
    <x v="0"/>
    <x v="1"/>
    <x v="3"/>
    <x v="0"/>
    <x v="14"/>
    <x v="5"/>
    <x v="5"/>
    <x v="45"/>
    <x v="5"/>
    <x v="5"/>
    <x v="0"/>
  </r>
  <r>
    <x v="0"/>
    <x v="0"/>
    <x v="0"/>
    <x v="0"/>
    <x v="0"/>
    <x v="8"/>
    <x v="8"/>
    <x v="11"/>
    <x v="6"/>
    <x v="6"/>
    <x v="0"/>
  </r>
  <r>
    <x v="0"/>
    <x v="0"/>
    <x v="0"/>
    <x v="0"/>
    <x v="0"/>
    <x v="26"/>
    <x v="26"/>
    <x v="17"/>
    <x v="9"/>
    <x v="9"/>
    <x v="0"/>
  </r>
  <r>
    <x v="0"/>
    <x v="0"/>
    <x v="0"/>
    <x v="0"/>
    <x v="0"/>
    <x v="40"/>
    <x v="40"/>
    <x v="19"/>
    <x v="38"/>
    <x v="37"/>
    <x v="0"/>
  </r>
  <r>
    <x v="0"/>
    <x v="0"/>
    <x v="0"/>
    <x v="0"/>
    <x v="0"/>
    <x v="20"/>
    <x v="20"/>
    <x v="80"/>
    <x v="19"/>
    <x v="18"/>
    <x v="0"/>
  </r>
  <r>
    <x v="0"/>
    <x v="0"/>
    <x v="0"/>
    <x v="4"/>
    <x v="0"/>
    <x v="20"/>
    <x v="20"/>
    <x v="36"/>
    <x v="19"/>
    <x v="18"/>
    <x v="0"/>
  </r>
  <r>
    <x v="0"/>
    <x v="0"/>
    <x v="0"/>
    <x v="3"/>
    <x v="0"/>
    <x v="23"/>
    <x v="23"/>
    <x v="7"/>
    <x v="11"/>
    <x v="11"/>
    <x v="0"/>
  </r>
  <r>
    <x v="0"/>
    <x v="0"/>
    <x v="0"/>
    <x v="0"/>
    <x v="0"/>
    <x v="8"/>
    <x v="8"/>
    <x v="31"/>
    <x v="24"/>
    <x v="23"/>
    <x v="0"/>
  </r>
  <r>
    <x v="0"/>
    <x v="0"/>
    <x v="0"/>
    <x v="3"/>
    <x v="0"/>
    <x v="39"/>
    <x v="39"/>
    <x v="7"/>
    <x v="12"/>
    <x v="12"/>
    <x v="0"/>
  </r>
  <r>
    <x v="0"/>
    <x v="0"/>
    <x v="0"/>
    <x v="0"/>
    <x v="0"/>
    <x v="2"/>
    <x v="2"/>
    <x v="83"/>
    <x v="2"/>
    <x v="2"/>
    <x v="0"/>
  </r>
  <r>
    <x v="0"/>
    <x v="0"/>
    <x v="0"/>
    <x v="0"/>
    <x v="7"/>
    <x v="14"/>
    <x v="14"/>
    <x v="46"/>
    <x v="13"/>
    <x v="13"/>
    <x v="0"/>
  </r>
  <r>
    <x v="0"/>
    <x v="0"/>
    <x v="2"/>
    <x v="4"/>
    <x v="2"/>
    <x v="14"/>
    <x v="14"/>
    <x v="72"/>
    <x v="13"/>
    <x v="13"/>
    <x v="0"/>
  </r>
  <r>
    <x v="0"/>
    <x v="1"/>
    <x v="1"/>
    <x v="5"/>
    <x v="5"/>
    <x v="3"/>
    <x v="3"/>
    <x v="8"/>
    <x v="3"/>
    <x v="3"/>
    <x v="0"/>
  </r>
  <r>
    <x v="0"/>
    <x v="0"/>
    <x v="2"/>
    <x v="2"/>
    <x v="10"/>
    <x v="33"/>
    <x v="33"/>
    <x v="49"/>
    <x v="5"/>
    <x v="5"/>
    <x v="0"/>
  </r>
  <r>
    <x v="0"/>
    <x v="0"/>
    <x v="0"/>
    <x v="0"/>
    <x v="0"/>
    <x v="21"/>
    <x v="21"/>
    <x v="10"/>
    <x v="6"/>
    <x v="6"/>
    <x v="0"/>
  </r>
  <r>
    <x v="0"/>
    <x v="0"/>
    <x v="0"/>
    <x v="1"/>
    <x v="0"/>
    <x v="10"/>
    <x v="10"/>
    <x v="10"/>
    <x v="6"/>
    <x v="6"/>
    <x v="0"/>
  </r>
  <r>
    <x v="0"/>
    <x v="0"/>
    <x v="0"/>
    <x v="1"/>
    <x v="0"/>
    <x v="6"/>
    <x v="6"/>
    <x v="6"/>
    <x v="6"/>
    <x v="6"/>
    <x v="0"/>
  </r>
  <r>
    <x v="0"/>
    <x v="0"/>
    <x v="0"/>
    <x v="0"/>
    <x v="0"/>
    <x v="20"/>
    <x v="20"/>
    <x v="36"/>
    <x v="7"/>
    <x v="7"/>
    <x v="0"/>
  </r>
  <r>
    <x v="0"/>
    <x v="0"/>
    <x v="0"/>
    <x v="1"/>
    <x v="0"/>
    <x v="20"/>
    <x v="20"/>
    <x v="32"/>
    <x v="7"/>
    <x v="7"/>
    <x v="0"/>
  </r>
  <r>
    <x v="0"/>
    <x v="0"/>
    <x v="2"/>
    <x v="0"/>
    <x v="0"/>
    <x v="9"/>
    <x v="9"/>
    <x v="7"/>
    <x v="8"/>
    <x v="8"/>
    <x v="0"/>
  </r>
  <r>
    <x v="0"/>
    <x v="0"/>
    <x v="0"/>
    <x v="0"/>
    <x v="0"/>
    <x v="0"/>
    <x v="0"/>
    <x v="7"/>
    <x v="8"/>
    <x v="8"/>
    <x v="0"/>
  </r>
  <r>
    <x v="0"/>
    <x v="0"/>
    <x v="0"/>
    <x v="3"/>
    <x v="0"/>
    <x v="23"/>
    <x v="23"/>
    <x v="11"/>
    <x v="37"/>
    <x v="36"/>
    <x v="0"/>
  </r>
  <r>
    <x v="0"/>
    <x v="0"/>
    <x v="0"/>
    <x v="2"/>
    <x v="0"/>
    <x v="28"/>
    <x v="28"/>
    <x v="55"/>
    <x v="9"/>
    <x v="9"/>
    <x v="0"/>
  </r>
  <r>
    <x v="0"/>
    <x v="0"/>
    <x v="0"/>
    <x v="0"/>
    <x v="0"/>
    <x v="8"/>
    <x v="8"/>
    <x v="9"/>
    <x v="9"/>
    <x v="9"/>
    <x v="0"/>
  </r>
  <r>
    <x v="0"/>
    <x v="0"/>
    <x v="0"/>
    <x v="1"/>
    <x v="0"/>
    <x v="2"/>
    <x v="2"/>
    <x v="80"/>
    <x v="28"/>
    <x v="27"/>
    <x v="0"/>
  </r>
  <r>
    <x v="0"/>
    <x v="0"/>
    <x v="0"/>
    <x v="1"/>
    <x v="0"/>
    <x v="40"/>
    <x v="40"/>
    <x v="36"/>
    <x v="38"/>
    <x v="37"/>
    <x v="0"/>
  </r>
  <r>
    <x v="0"/>
    <x v="0"/>
    <x v="2"/>
    <x v="0"/>
    <x v="0"/>
    <x v="25"/>
    <x v="25"/>
    <x v="55"/>
    <x v="30"/>
    <x v="29"/>
    <x v="0"/>
  </r>
  <r>
    <x v="0"/>
    <x v="0"/>
    <x v="0"/>
    <x v="0"/>
    <x v="0"/>
    <x v="22"/>
    <x v="22"/>
    <x v="84"/>
    <x v="21"/>
    <x v="20"/>
    <x v="0"/>
  </r>
  <r>
    <x v="0"/>
    <x v="0"/>
    <x v="0"/>
    <x v="2"/>
    <x v="0"/>
    <x v="21"/>
    <x v="21"/>
    <x v="34"/>
    <x v="10"/>
    <x v="10"/>
    <x v="0"/>
  </r>
  <r>
    <x v="0"/>
    <x v="0"/>
    <x v="0"/>
    <x v="2"/>
    <x v="0"/>
    <x v="23"/>
    <x v="23"/>
    <x v="31"/>
    <x v="32"/>
    <x v="31"/>
    <x v="0"/>
  </r>
  <r>
    <x v="0"/>
    <x v="0"/>
    <x v="0"/>
    <x v="0"/>
    <x v="0"/>
    <x v="23"/>
    <x v="23"/>
    <x v="13"/>
    <x v="32"/>
    <x v="31"/>
    <x v="0"/>
  </r>
  <r>
    <x v="0"/>
    <x v="0"/>
    <x v="2"/>
    <x v="4"/>
    <x v="4"/>
    <x v="27"/>
    <x v="27"/>
    <x v="3"/>
    <x v="25"/>
    <x v="24"/>
    <x v="0"/>
  </r>
  <r>
    <x v="0"/>
    <x v="0"/>
    <x v="0"/>
    <x v="4"/>
    <x v="0"/>
    <x v="6"/>
    <x v="6"/>
    <x v="24"/>
    <x v="6"/>
    <x v="6"/>
    <x v="0"/>
  </r>
  <r>
    <x v="0"/>
    <x v="0"/>
    <x v="0"/>
    <x v="3"/>
    <x v="0"/>
    <x v="23"/>
    <x v="23"/>
    <x v="24"/>
    <x v="27"/>
    <x v="26"/>
    <x v="0"/>
  </r>
  <r>
    <x v="0"/>
    <x v="0"/>
    <x v="0"/>
    <x v="0"/>
    <x v="0"/>
    <x v="8"/>
    <x v="8"/>
    <x v="9"/>
    <x v="22"/>
    <x v="21"/>
    <x v="0"/>
  </r>
  <r>
    <x v="0"/>
    <x v="0"/>
    <x v="0"/>
    <x v="1"/>
    <x v="0"/>
    <x v="10"/>
    <x v="10"/>
    <x v="20"/>
    <x v="10"/>
    <x v="10"/>
    <x v="0"/>
  </r>
  <r>
    <x v="0"/>
    <x v="0"/>
    <x v="0"/>
    <x v="3"/>
    <x v="0"/>
    <x v="30"/>
    <x v="30"/>
    <x v="56"/>
    <x v="35"/>
    <x v="34"/>
    <x v="0"/>
  </r>
  <r>
    <x v="0"/>
    <x v="0"/>
    <x v="0"/>
    <x v="4"/>
    <x v="0"/>
    <x v="35"/>
    <x v="35"/>
    <x v="3"/>
    <x v="0"/>
    <x v="0"/>
    <x v="0"/>
  </r>
  <r>
    <x v="0"/>
    <x v="0"/>
    <x v="0"/>
    <x v="4"/>
    <x v="0"/>
    <x v="17"/>
    <x v="17"/>
    <x v="35"/>
    <x v="1"/>
    <x v="1"/>
    <x v="0"/>
  </r>
  <r>
    <x v="0"/>
    <x v="0"/>
    <x v="2"/>
    <x v="4"/>
    <x v="10"/>
    <x v="18"/>
    <x v="18"/>
    <x v="49"/>
    <x v="33"/>
    <x v="32"/>
    <x v="0"/>
  </r>
  <r>
    <x v="0"/>
    <x v="0"/>
    <x v="0"/>
    <x v="2"/>
    <x v="6"/>
    <x v="13"/>
    <x v="13"/>
    <x v="9"/>
    <x v="13"/>
    <x v="13"/>
    <x v="0"/>
  </r>
  <r>
    <x v="0"/>
    <x v="0"/>
    <x v="2"/>
    <x v="4"/>
    <x v="2"/>
    <x v="15"/>
    <x v="15"/>
    <x v="31"/>
    <x v="14"/>
    <x v="14"/>
    <x v="0"/>
  </r>
  <r>
    <x v="0"/>
    <x v="0"/>
    <x v="2"/>
    <x v="0"/>
    <x v="0"/>
    <x v="6"/>
    <x v="6"/>
    <x v="85"/>
    <x v="6"/>
    <x v="6"/>
    <x v="0"/>
  </r>
  <r>
    <x v="0"/>
    <x v="0"/>
    <x v="0"/>
    <x v="0"/>
    <x v="0"/>
    <x v="35"/>
    <x v="35"/>
    <x v="7"/>
    <x v="8"/>
    <x v="8"/>
    <x v="0"/>
  </r>
  <r>
    <x v="0"/>
    <x v="0"/>
    <x v="0"/>
    <x v="3"/>
    <x v="0"/>
    <x v="8"/>
    <x v="8"/>
    <x v="10"/>
    <x v="8"/>
    <x v="8"/>
    <x v="0"/>
  </r>
  <r>
    <x v="0"/>
    <x v="0"/>
    <x v="0"/>
    <x v="4"/>
    <x v="0"/>
    <x v="26"/>
    <x v="26"/>
    <x v="46"/>
    <x v="9"/>
    <x v="9"/>
    <x v="0"/>
  </r>
  <r>
    <x v="0"/>
    <x v="0"/>
    <x v="0"/>
    <x v="4"/>
    <x v="0"/>
    <x v="35"/>
    <x v="35"/>
    <x v="46"/>
    <x v="9"/>
    <x v="9"/>
    <x v="0"/>
  </r>
  <r>
    <x v="0"/>
    <x v="0"/>
    <x v="0"/>
    <x v="3"/>
    <x v="0"/>
    <x v="28"/>
    <x v="28"/>
    <x v="29"/>
    <x v="9"/>
    <x v="9"/>
    <x v="0"/>
  </r>
  <r>
    <x v="0"/>
    <x v="0"/>
    <x v="0"/>
    <x v="2"/>
    <x v="0"/>
    <x v="25"/>
    <x v="25"/>
    <x v="19"/>
    <x v="30"/>
    <x v="29"/>
    <x v="0"/>
  </r>
  <r>
    <x v="0"/>
    <x v="0"/>
    <x v="0"/>
    <x v="4"/>
    <x v="0"/>
    <x v="22"/>
    <x v="22"/>
    <x v="20"/>
    <x v="21"/>
    <x v="20"/>
    <x v="0"/>
  </r>
  <r>
    <x v="0"/>
    <x v="0"/>
    <x v="0"/>
    <x v="1"/>
    <x v="0"/>
    <x v="23"/>
    <x v="23"/>
    <x v="11"/>
    <x v="11"/>
    <x v="11"/>
    <x v="0"/>
  </r>
  <r>
    <x v="0"/>
    <x v="0"/>
    <x v="0"/>
    <x v="4"/>
    <x v="0"/>
    <x v="34"/>
    <x v="34"/>
    <x v="22"/>
    <x v="35"/>
    <x v="34"/>
    <x v="0"/>
  </r>
  <r>
    <x v="0"/>
    <x v="0"/>
    <x v="0"/>
    <x v="3"/>
    <x v="0"/>
    <x v="31"/>
    <x v="31"/>
    <x v="56"/>
    <x v="35"/>
    <x v="34"/>
    <x v="0"/>
  </r>
  <r>
    <x v="0"/>
    <x v="0"/>
    <x v="0"/>
    <x v="3"/>
    <x v="0"/>
    <x v="34"/>
    <x v="34"/>
    <x v="56"/>
    <x v="35"/>
    <x v="34"/>
    <x v="0"/>
  </r>
  <r>
    <x v="0"/>
    <x v="0"/>
    <x v="0"/>
    <x v="2"/>
    <x v="0"/>
    <x v="11"/>
    <x v="11"/>
    <x v="79"/>
    <x v="23"/>
    <x v="22"/>
    <x v="0"/>
  </r>
  <r>
    <x v="0"/>
    <x v="0"/>
    <x v="0"/>
    <x v="4"/>
    <x v="0"/>
    <x v="1"/>
    <x v="1"/>
    <x v="35"/>
    <x v="1"/>
    <x v="1"/>
    <x v="0"/>
  </r>
  <r>
    <x v="0"/>
    <x v="0"/>
    <x v="2"/>
    <x v="4"/>
    <x v="2"/>
    <x v="37"/>
    <x v="37"/>
    <x v="31"/>
    <x v="14"/>
    <x v="14"/>
    <x v="0"/>
  </r>
  <r>
    <x v="0"/>
    <x v="0"/>
    <x v="0"/>
    <x v="2"/>
    <x v="0"/>
    <x v="9"/>
    <x v="9"/>
    <x v="78"/>
    <x v="29"/>
    <x v="28"/>
    <x v="0"/>
  </r>
  <r>
    <x v="0"/>
    <x v="0"/>
    <x v="0"/>
    <x v="0"/>
    <x v="0"/>
    <x v="30"/>
    <x v="30"/>
    <x v="60"/>
    <x v="22"/>
    <x v="21"/>
    <x v="0"/>
  </r>
  <r>
    <x v="0"/>
    <x v="0"/>
    <x v="0"/>
    <x v="3"/>
    <x v="0"/>
    <x v="8"/>
    <x v="8"/>
    <x v="7"/>
    <x v="22"/>
    <x v="21"/>
    <x v="0"/>
  </r>
  <r>
    <x v="0"/>
    <x v="0"/>
    <x v="0"/>
    <x v="2"/>
    <x v="0"/>
    <x v="30"/>
    <x v="30"/>
    <x v="56"/>
    <x v="35"/>
    <x v="34"/>
    <x v="0"/>
  </r>
  <r>
    <x v="0"/>
    <x v="0"/>
    <x v="2"/>
    <x v="0"/>
    <x v="2"/>
    <x v="27"/>
    <x v="27"/>
    <x v="86"/>
    <x v="25"/>
    <x v="24"/>
    <x v="0"/>
  </r>
  <r>
    <x v="0"/>
    <x v="1"/>
    <x v="1"/>
    <x v="1"/>
    <x v="1"/>
    <x v="3"/>
    <x v="3"/>
    <x v="87"/>
    <x v="3"/>
    <x v="3"/>
    <x v="0"/>
  </r>
  <r>
    <x v="0"/>
    <x v="0"/>
    <x v="0"/>
    <x v="2"/>
    <x v="0"/>
    <x v="11"/>
    <x v="11"/>
    <x v="29"/>
    <x v="37"/>
    <x v="36"/>
    <x v="0"/>
  </r>
  <r>
    <x v="0"/>
    <x v="0"/>
    <x v="0"/>
    <x v="1"/>
    <x v="0"/>
    <x v="0"/>
    <x v="0"/>
    <x v="7"/>
    <x v="9"/>
    <x v="9"/>
    <x v="0"/>
  </r>
  <r>
    <x v="0"/>
    <x v="0"/>
    <x v="0"/>
    <x v="2"/>
    <x v="0"/>
    <x v="23"/>
    <x v="23"/>
    <x v="81"/>
    <x v="20"/>
    <x v="19"/>
    <x v="0"/>
  </r>
  <r>
    <x v="0"/>
    <x v="0"/>
    <x v="0"/>
    <x v="1"/>
    <x v="0"/>
    <x v="23"/>
    <x v="23"/>
    <x v="36"/>
    <x v="20"/>
    <x v="19"/>
    <x v="0"/>
  </r>
  <r>
    <x v="0"/>
    <x v="0"/>
    <x v="0"/>
    <x v="2"/>
    <x v="0"/>
    <x v="31"/>
    <x v="31"/>
    <x v="33"/>
    <x v="22"/>
    <x v="21"/>
    <x v="0"/>
  </r>
  <r>
    <x v="0"/>
    <x v="0"/>
    <x v="0"/>
    <x v="0"/>
    <x v="0"/>
    <x v="30"/>
    <x v="30"/>
    <x v="50"/>
    <x v="35"/>
    <x v="34"/>
    <x v="0"/>
  </r>
  <r>
    <x v="0"/>
    <x v="0"/>
    <x v="2"/>
    <x v="1"/>
    <x v="6"/>
    <x v="27"/>
    <x v="27"/>
    <x v="9"/>
    <x v="25"/>
    <x v="24"/>
    <x v="0"/>
  </r>
  <r>
    <x v="0"/>
    <x v="0"/>
    <x v="0"/>
    <x v="3"/>
    <x v="15"/>
    <x v="18"/>
    <x v="18"/>
    <x v="39"/>
    <x v="17"/>
    <x v="1"/>
    <x v="0"/>
  </r>
  <r>
    <x v="0"/>
    <x v="0"/>
    <x v="0"/>
    <x v="0"/>
    <x v="0"/>
    <x v="10"/>
    <x v="10"/>
    <x v="10"/>
    <x v="6"/>
    <x v="6"/>
    <x v="0"/>
  </r>
  <r>
    <x v="0"/>
    <x v="0"/>
    <x v="0"/>
    <x v="2"/>
    <x v="0"/>
    <x v="23"/>
    <x v="23"/>
    <x v="29"/>
    <x v="37"/>
    <x v="36"/>
    <x v="0"/>
  </r>
  <r>
    <x v="0"/>
    <x v="0"/>
    <x v="0"/>
    <x v="0"/>
    <x v="0"/>
    <x v="23"/>
    <x v="23"/>
    <x v="22"/>
    <x v="37"/>
    <x v="36"/>
    <x v="0"/>
  </r>
  <r>
    <x v="0"/>
    <x v="0"/>
    <x v="0"/>
    <x v="0"/>
    <x v="0"/>
    <x v="35"/>
    <x v="35"/>
    <x v="17"/>
    <x v="9"/>
    <x v="9"/>
    <x v="0"/>
  </r>
  <r>
    <x v="0"/>
    <x v="0"/>
    <x v="0"/>
    <x v="0"/>
    <x v="0"/>
    <x v="11"/>
    <x v="11"/>
    <x v="59"/>
    <x v="20"/>
    <x v="19"/>
    <x v="0"/>
  </r>
  <r>
    <x v="0"/>
    <x v="0"/>
    <x v="0"/>
    <x v="1"/>
    <x v="0"/>
    <x v="1"/>
    <x v="1"/>
    <x v="10"/>
    <x v="1"/>
    <x v="1"/>
    <x v="0"/>
  </r>
  <r>
    <x v="0"/>
    <x v="0"/>
    <x v="0"/>
    <x v="0"/>
    <x v="0"/>
    <x v="40"/>
    <x v="40"/>
    <x v="88"/>
    <x v="36"/>
    <x v="35"/>
    <x v="0"/>
  </r>
  <r>
    <x v="0"/>
    <x v="0"/>
    <x v="0"/>
    <x v="4"/>
    <x v="0"/>
    <x v="2"/>
    <x v="2"/>
    <x v="3"/>
    <x v="16"/>
    <x v="16"/>
    <x v="0"/>
  </r>
  <r>
    <x v="0"/>
    <x v="0"/>
    <x v="2"/>
    <x v="0"/>
    <x v="11"/>
    <x v="15"/>
    <x v="15"/>
    <x v="55"/>
    <x v="14"/>
    <x v="14"/>
    <x v="0"/>
  </r>
  <r>
    <x v="0"/>
    <x v="0"/>
    <x v="0"/>
    <x v="0"/>
    <x v="0"/>
    <x v="6"/>
    <x v="6"/>
    <x v="20"/>
    <x v="6"/>
    <x v="6"/>
    <x v="0"/>
  </r>
  <r>
    <x v="0"/>
    <x v="0"/>
    <x v="0"/>
    <x v="3"/>
    <x v="0"/>
    <x v="6"/>
    <x v="6"/>
    <x v="7"/>
    <x v="6"/>
    <x v="6"/>
    <x v="0"/>
  </r>
  <r>
    <x v="0"/>
    <x v="0"/>
    <x v="0"/>
    <x v="1"/>
    <x v="0"/>
    <x v="21"/>
    <x v="21"/>
    <x v="14"/>
    <x v="7"/>
    <x v="7"/>
    <x v="0"/>
  </r>
  <r>
    <x v="0"/>
    <x v="0"/>
    <x v="0"/>
    <x v="0"/>
    <x v="0"/>
    <x v="9"/>
    <x v="9"/>
    <x v="8"/>
    <x v="8"/>
    <x v="8"/>
    <x v="0"/>
  </r>
  <r>
    <x v="0"/>
    <x v="0"/>
    <x v="0"/>
    <x v="4"/>
    <x v="0"/>
    <x v="9"/>
    <x v="9"/>
    <x v="79"/>
    <x v="8"/>
    <x v="8"/>
    <x v="0"/>
  </r>
  <r>
    <x v="0"/>
    <x v="0"/>
    <x v="0"/>
    <x v="0"/>
    <x v="0"/>
    <x v="23"/>
    <x v="23"/>
    <x v="22"/>
    <x v="27"/>
    <x v="26"/>
    <x v="0"/>
  </r>
  <r>
    <x v="0"/>
    <x v="0"/>
    <x v="0"/>
    <x v="2"/>
    <x v="0"/>
    <x v="8"/>
    <x v="8"/>
    <x v="78"/>
    <x v="29"/>
    <x v="28"/>
    <x v="0"/>
  </r>
  <r>
    <x v="0"/>
    <x v="0"/>
    <x v="0"/>
    <x v="0"/>
    <x v="0"/>
    <x v="25"/>
    <x v="25"/>
    <x v="13"/>
    <x v="30"/>
    <x v="29"/>
    <x v="0"/>
  </r>
  <r>
    <x v="0"/>
    <x v="0"/>
    <x v="0"/>
    <x v="3"/>
    <x v="0"/>
    <x v="20"/>
    <x v="20"/>
    <x v="7"/>
    <x v="30"/>
    <x v="29"/>
    <x v="0"/>
  </r>
  <r>
    <x v="0"/>
    <x v="0"/>
    <x v="0"/>
    <x v="0"/>
    <x v="0"/>
    <x v="23"/>
    <x v="23"/>
    <x v="59"/>
    <x v="20"/>
    <x v="19"/>
    <x v="0"/>
  </r>
  <r>
    <x v="0"/>
    <x v="0"/>
    <x v="0"/>
    <x v="3"/>
    <x v="0"/>
    <x v="22"/>
    <x v="22"/>
    <x v="30"/>
    <x v="21"/>
    <x v="20"/>
    <x v="0"/>
  </r>
  <r>
    <x v="0"/>
    <x v="0"/>
    <x v="0"/>
    <x v="4"/>
    <x v="0"/>
    <x v="34"/>
    <x v="34"/>
    <x v="50"/>
    <x v="22"/>
    <x v="21"/>
    <x v="0"/>
  </r>
  <r>
    <x v="0"/>
    <x v="0"/>
    <x v="0"/>
    <x v="0"/>
    <x v="0"/>
    <x v="21"/>
    <x v="21"/>
    <x v="48"/>
    <x v="10"/>
    <x v="10"/>
    <x v="0"/>
  </r>
  <r>
    <x v="0"/>
    <x v="0"/>
    <x v="0"/>
    <x v="3"/>
    <x v="0"/>
    <x v="9"/>
    <x v="9"/>
    <x v="24"/>
    <x v="24"/>
    <x v="23"/>
    <x v="0"/>
  </r>
  <r>
    <x v="0"/>
    <x v="0"/>
    <x v="0"/>
    <x v="1"/>
    <x v="0"/>
    <x v="28"/>
    <x v="28"/>
    <x v="47"/>
    <x v="0"/>
    <x v="0"/>
    <x v="0"/>
  </r>
  <r>
    <x v="0"/>
    <x v="0"/>
    <x v="0"/>
    <x v="2"/>
    <x v="0"/>
    <x v="39"/>
    <x v="39"/>
    <x v="68"/>
    <x v="12"/>
    <x v="12"/>
    <x v="0"/>
  </r>
  <r>
    <x v="0"/>
    <x v="0"/>
    <x v="2"/>
    <x v="0"/>
    <x v="0"/>
    <x v="32"/>
    <x v="32"/>
    <x v="37"/>
    <x v="31"/>
    <x v="30"/>
    <x v="0"/>
  </r>
  <r>
    <x v="0"/>
    <x v="0"/>
    <x v="0"/>
    <x v="2"/>
    <x v="6"/>
    <x v="18"/>
    <x v="18"/>
    <x v="9"/>
    <x v="17"/>
    <x v="1"/>
    <x v="0"/>
  </r>
  <r>
    <x v="0"/>
    <x v="0"/>
    <x v="0"/>
    <x v="3"/>
    <x v="0"/>
    <x v="21"/>
    <x v="21"/>
    <x v="7"/>
    <x v="7"/>
    <x v="7"/>
    <x v="0"/>
  </r>
  <r>
    <x v="0"/>
    <x v="0"/>
    <x v="0"/>
    <x v="1"/>
    <x v="0"/>
    <x v="8"/>
    <x v="8"/>
    <x v="31"/>
    <x v="9"/>
    <x v="9"/>
    <x v="0"/>
  </r>
  <r>
    <x v="0"/>
    <x v="0"/>
    <x v="0"/>
    <x v="1"/>
    <x v="0"/>
    <x v="11"/>
    <x v="11"/>
    <x v="36"/>
    <x v="20"/>
    <x v="19"/>
    <x v="0"/>
  </r>
  <r>
    <x v="0"/>
    <x v="0"/>
    <x v="0"/>
    <x v="4"/>
    <x v="0"/>
    <x v="31"/>
    <x v="31"/>
    <x v="50"/>
    <x v="22"/>
    <x v="21"/>
    <x v="0"/>
  </r>
  <r>
    <x v="0"/>
    <x v="0"/>
    <x v="0"/>
    <x v="3"/>
    <x v="0"/>
    <x v="8"/>
    <x v="8"/>
    <x v="24"/>
    <x v="24"/>
    <x v="23"/>
    <x v="0"/>
  </r>
  <r>
    <x v="0"/>
    <x v="0"/>
    <x v="0"/>
    <x v="1"/>
    <x v="0"/>
    <x v="30"/>
    <x v="30"/>
    <x v="7"/>
    <x v="35"/>
    <x v="34"/>
    <x v="0"/>
  </r>
  <r>
    <x v="0"/>
    <x v="0"/>
    <x v="0"/>
    <x v="1"/>
    <x v="7"/>
    <x v="18"/>
    <x v="18"/>
    <x v="16"/>
    <x v="17"/>
    <x v="1"/>
    <x v="0"/>
  </r>
  <r>
    <x v="0"/>
    <x v="1"/>
    <x v="1"/>
    <x v="2"/>
    <x v="8"/>
    <x v="3"/>
    <x v="3"/>
    <x v="89"/>
    <x v="3"/>
    <x v="3"/>
    <x v="0"/>
  </r>
  <r>
    <x v="0"/>
    <x v="0"/>
    <x v="0"/>
    <x v="1"/>
    <x v="0"/>
    <x v="21"/>
    <x v="21"/>
    <x v="10"/>
    <x v="6"/>
    <x v="6"/>
    <x v="0"/>
  </r>
  <r>
    <x v="0"/>
    <x v="0"/>
    <x v="0"/>
    <x v="2"/>
    <x v="0"/>
    <x v="21"/>
    <x v="21"/>
    <x v="73"/>
    <x v="7"/>
    <x v="7"/>
    <x v="0"/>
  </r>
  <r>
    <x v="0"/>
    <x v="0"/>
    <x v="0"/>
    <x v="1"/>
    <x v="0"/>
    <x v="7"/>
    <x v="7"/>
    <x v="14"/>
    <x v="7"/>
    <x v="7"/>
    <x v="0"/>
  </r>
  <r>
    <x v="0"/>
    <x v="0"/>
    <x v="0"/>
    <x v="3"/>
    <x v="0"/>
    <x v="11"/>
    <x v="11"/>
    <x v="11"/>
    <x v="37"/>
    <x v="36"/>
    <x v="0"/>
  </r>
  <r>
    <x v="0"/>
    <x v="0"/>
    <x v="0"/>
    <x v="2"/>
    <x v="0"/>
    <x v="35"/>
    <x v="35"/>
    <x v="55"/>
    <x v="9"/>
    <x v="9"/>
    <x v="0"/>
  </r>
  <r>
    <x v="0"/>
    <x v="0"/>
    <x v="0"/>
    <x v="2"/>
    <x v="0"/>
    <x v="40"/>
    <x v="40"/>
    <x v="22"/>
    <x v="38"/>
    <x v="37"/>
    <x v="0"/>
  </r>
  <r>
    <x v="0"/>
    <x v="0"/>
    <x v="0"/>
    <x v="3"/>
    <x v="0"/>
    <x v="40"/>
    <x v="40"/>
    <x v="46"/>
    <x v="38"/>
    <x v="37"/>
    <x v="0"/>
  </r>
  <r>
    <x v="0"/>
    <x v="0"/>
    <x v="0"/>
    <x v="2"/>
    <x v="0"/>
    <x v="34"/>
    <x v="34"/>
    <x v="56"/>
    <x v="35"/>
    <x v="34"/>
    <x v="0"/>
  </r>
  <r>
    <x v="0"/>
    <x v="0"/>
    <x v="0"/>
    <x v="0"/>
    <x v="0"/>
    <x v="24"/>
    <x v="24"/>
    <x v="1"/>
    <x v="1"/>
    <x v="1"/>
    <x v="0"/>
  </r>
  <r>
    <x v="0"/>
    <x v="0"/>
    <x v="0"/>
    <x v="0"/>
    <x v="0"/>
    <x v="7"/>
    <x v="7"/>
    <x v="10"/>
    <x v="6"/>
    <x v="6"/>
    <x v="0"/>
  </r>
  <r>
    <x v="0"/>
    <x v="0"/>
    <x v="0"/>
    <x v="1"/>
    <x v="0"/>
    <x v="7"/>
    <x v="7"/>
    <x v="10"/>
    <x v="6"/>
    <x v="6"/>
    <x v="0"/>
  </r>
  <r>
    <x v="0"/>
    <x v="0"/>
    <x v="0"/>
    <x v="2"/>
    <x v="0"/>
    <x v="23"/>
    <x v="23"/>
    <x v="45"/>
    <x v="27"/>
    <x v="26"/>
    <x v="0"/>
  </r>
  <r>
    <x v="0"/>
    <x v="0"/>
    <x v="0"/>
    <x v="4"/>
    <x v="0"/>
    <x v="23"/>
    <x v="23"/>
    <x v="9"/>
    <x v="27"/>
    <x v="26"/>
    <x v="0"/>
  </r>
  <r>
    <x v="0"/>
    <x v="0"/>
    <x v="0"/>
    <x v="1"/>
    <x v="0"/>
    <x v="29"/>
    <x v="29"/>
    <x v="55"/>
    <x v="28"/>
    <x v="27"/>
    <x v="0"/>
  </r>
  <r>
    <x v="0"/>
    <x v="0"/>
    <x v="0"/>
    <x v="4"/>
    <x v="0"/>
    <x v="25"/>
    <x v="25"/>
    <x v="36"/>
    <x v="30"/>
    <x v="29"/>
    <x v="0"/>
  </r>
  <r>
    <x v="0"/>
    <x v="0"/>
    <x v="0"/>
    <x v="2"/>
    <x v="0"/>
    <x v="25"/>
    <x v="25"/>
    <x v="14"/>
    <x v="19"/>
    <x v="18"/>
    <x v="0"/>
  </r>
  <r>
    <x v="0"/>
    <x v="0"/>
    <x v="0"/>
    <x v="2"/>
    <x v="0"/>
    <x v="22"/>
    <x v="22"/>
    <x v="0"/>
    <x v="21"/>
    <x v="20"/>
    <x v="0"/>
  </r>
  <r>
    <x v="0"/>
    <x v="0"/>
    <x v="0"/>
    <x v="0"/>
    <x v="0"/>
    <x v="31"/>
    <x v="31"/>
    <x v="60"/>
    <x v="22"/>
    <x v="21"/>
    <x v="0"/>
  </r>
  <r>
    <x v="0"/>
    <x v="0"/>
    <x v="0"/>
    <x v="3"/>
    <x v="0"/>
    <x v="9"/>
    <x v="9"/>
    <x v="7"/>
    <x v="22"/>
    <x v="21"/>
    <x v="0"/>
  </r>
  <r>
    <x v="0"/>
    <x v="0"/>
    <x v="0"/>
    <x v="0"/>
    <x v="0"/>
    <x v="28"/>
    <x v="28"/>
    <x v="0"/>
    <x v="0"/>
    <x v="0"/>
    <x v="0"/>
  </r>
  <r>
    <x v="0"/>
    <x v="0"/>
    <x v="0"/>
    <x v="3"/>
    <x v="9"/>
    <x v="18"/>
    <x v="18"/>
    <x v="45"/>
    <x v="17"/>
    <x v="1"/>
    <x v="0"/>
  </r>
  <r>
    <x v="0"/>
    <x v="0"/>
    <x v="0"/>
    <x v="2"/>
    <x v="0"/>
    <x v="19"/>
    <x v="19"/>
    <x v="19"/>
    <x v="18"/>
    <x v="17"/>
    <x v="0"/>
  </r>
  <r>
    <x v="0"/>
    <x v="0"/>
    <x v="0"/>
    <x v="2"/>
    <x v="0"/>
    <x v="9"/>
    <x v="9"/>
    <x v="25"/>
    <x v="9"/>
    <x v="9"/>
    <x v="0"/>
  </r>
  <r>
    <x v="0"/>
    <x v="0"/>
    <x v="0"/>
    <x v="2"/>
    <x v="0"/>
    <x v="8"/>
    <x v="8"/>
    <x v="25"/>
    <x v="9"/>
    <x v="9"/>
    <x v="0"/>
  </r>
  <r>
    <x v="0"/>
    <x v="0"/>
    <x v="0"/>
    <x v="0"/>
    <x v="0"/>
    <x v="0"/>
    <x v="0"/>
    <x v="17"/>
    <x v="9"/>
    <x v="9"/>
    <x v="0"/>
  </r>
  <r>
    <x v="0"/>
    <x v="0"/>
    <x v="0"/>
    <x v="3"/>
    <x v="0"/>
    <x v="35"/>
    <x v="35"/>
    <x v="29"/>
    <x v="9"/>
    <x v="9"/>
    <x v="0"/>
  </r>
  <r>
    <x v="0"/>
    <x v="0"/>
    <x v="0"/>
    <x v="0"/>
    <x v="0"/>
    <x v="29"/>
    <x v="29"/>
    <x v="90"/>
    <x v="28"/>
    <x v="27"/>
    <x v="0"/>
  </r>
  <r>
    <x v="0"/>
    <x v="0"/>
    <x v="2"/>
    <x v="0"/>
    <x v="0"/>
    <x v="20"/>
    <x v="20"/>
    <x v="74"/>
    <x v="19"/>
    <x v="18"/>
    <x v="0"/>
  </r>
  <r>
    <x v="0"/>
    <x v="0"/>
    <x v="0"/>
    <x v="4"/>
    <x v="0"/>
    <x v="30"/>
    <x v="30"/>
    <x v="50"/>
    <x v="22"/>
    <x v="21"/>
    <x v="0"/>
  </r>
  <r>
    <x v="0"/>
    <x v="0"/>
    <x v="0"/>
    <x v="1"/>
    <x v="0"/>
    <x v="34"/>
    <x v="34"/>
    <x v="24"/>
    <x v="22"/>
    <x v="21"/>
    <x v="0"/>
  </r>
  <r>
    <x v="0"/>
    <x v="0"/>
    <x v="0"/>
    <x v="2"/>
    <x v="0"/>
    <x v="11"/>
    <x v="11"/>
    <x v="29"/>
    <x v="11"/>
    <x v="11"/>
    <x v="0"/>
  </r>
  <r>
    <x v="0"/>
    <x v="0"/>
    <x v="0"/>
    <x v="0"/>
    <x v="15"/>
    <x v="18"/>
    <x v="18"/>
    <x v="67"/>
    <x v="17"/>
    <x v="1"/>
    <x v="0"/>
  </r>
  <r>
    <x v="0"/>
    <x v="0"/>
    <x v="2"/>
    <x v="3"/>
    <x v="2"/>
    <x v="36"/>
    <x v="36"/>
    <x v="17"/>
    <x v="34"/>
    <x v="33"/>
    <x v="0"/>
  </r>
  <r>
    <x v="0"/>
    <x v="0"/>
    <x v="0"/>
    <x v="4"/>
    <x v="0"/>
    <x v="21"/>
    <x v="21"/>
    <x v="7"/>
    <x v="6"/>
    <x v="6"/>
    <x v="0"/>
  </r>
  <r>
    <x v="0"/>
    <x v="0"/>
    <x v="0"/>
    <x v="1"/>
    <x v="0"/>
    <x v="16"/>
    <x v="16"/>
    <x v="45"/>
    <x v="15"/>
    <x v="15"/>
    <x v="0"/>
  </r>
  <r>
    <x v="0"/>
    <x v="0"/>
    <x v="0"/>
    <x v="2"/>
    <x v="0"/>
    <x v="29"/>
    <x v="29"/>
    <x v="23"/>
    <x v="26"/>
    <x v="25"/>
    <x v="0"/>
  </r>
  <r>
    <x v="0"/>
    <x v="0"/>
    <x v="0"/>
    <x v="1"/>
    <x v="0"/>
    <x v="25"/>
    <x v="25"/>
    <x v="30"/>
    <x v="19"/>
    <x v="18"/>
    <x v="0"/>
  </r>
  <r>
    <x v="0"/>
    <x v="0"/>
    <x v="0"/>
    <x v="1"/>
    <x v="0"/>
    <x v="16"/>
    <x v="16"/>
    <x v="9"/>
    <x v="21"/>
    <x v="20"/>
    <x v="0"/>
  </r>
  <r>
    <x v="0"/>
    <x v="0"/>
    <x v="0"/>
    <x v="3"/>
    <x v="0"/>
    <x v="16"/>
    <x v="16"/>
    <x v="65"/>
    <x v="21"/>
    <x v="20"/>
    <x v="0"/>
  </r>
  <r>
    <x v="0"/>
    <x v="0"/>
    <x v="0"/>
    <x v="1"/>
    <x v="0"/>
    <x v="11"/>
    <x v="11"/>
    <x v="10"/>
    <x v="32"/>
    <x v="31"/>
    <x v="0"/>
  </r>
  <r>
    <x v="0"/>
    <x v="0"/>
    <x v="0"/>
    <x v="3"/>
    <x v="0"/>
    <x v="11"/>
    <x v="11"/>
    <x v="11"/>
    <x v="32"/>
    <x v="31"/>
    <x v="0"/>
  </r>
  <r>
    <x v="0"/>
    <x v="0"/>
    <x v="0"/>
    <x v="4"/>
    <x v="0"/>
    <x v="12"/>
    <x v="12"/>
    <x v="24"/>
    <x v="12"/>
    <x v="12"/>
    <x v="0"/>
  </r>
  <r>
    <x v="0"/>
    <x v="0"/>
    <x v="0"/>
    <x v="0"/>
    <x v="0"/>
    <x v="16"/>
    <x v="16"/>
    <x v="91"/>
    <x v="15"/>
    <x v="15"/>
    <x v="0"/>
  </r>
  <r>
    <x v="0"/>
    <x v="0"/>
    <x v="0"/>
    <x v="1"/>
    <x v="0"/>
    <x v="8"/>
    <x v="8"/>
    <x v="23"/>
    <x v="8"/>
    <x v="8"/>
    <x v="0"/>
  </r>
  <r>
    <x v="0"/>
    <x v="0"/>
    <x v="0"/>
    <x v="4"/>
    <x v="0"/>
    <x v="11"/>
    <x v="11"/>
    <x v="10"/>
    <x v="37"/>
    <x v="36"/>
    <x v="0"/>
  </r>
  <r>
    <x v="0"/>
    <x v="0"/>
    <x v="0"/>
    <x v="4"/>
    <x v="0"/>
    <x v="28"/>
    <x v="28"/>
    <x v="46"/>
    <x v="9"/>
    <x v="9"/>
    <x v="0"/>
  </r>
  <r>
    <x v="0"/>
    <x v="0"/>
    <x v="0"/>
    <x v="4"/>
    <x v="0"/>
    <x v="8"/>
    <x v="8"/>
    <x v="59"/>
    <x v="29"/>
    <x v="28"/>
    <x v="0"/>
  </r>
  <r>
    <x v="0"/>
    <x v="0"/>
    <x v="0"/>
    <x v="3"/>
    <x v="0"/>
    <x v="23"/>
    <x v="23"/>
    <x v="24"/>
    <x v="20"/>
    <x v="1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L1:M4" firstHeaderRow="1" firstDataRow="1" firstDataCol="1"/>
  <pivotFields count="11">
    <pivotField compact="0" showAll="0">
      <items count="7">
        <item x="0"/>
        <item x="3"/>
        <item x="2"/>
        <item x="5"/>
        <item x="4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14">
        <item x="7"/>
        <item x="3"/>
        <item x="5"/>
        <item x="10"/>
        <item x="6"/>
        <item x="0"/>
        <item x="1"/>
        <item x="12"/>
        <item x="9"/>
        <item x="4"/>
        <item x="8"/>
        <item x="2"/>
        <item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38">
        <item x="4"/>
        <item x="33"/>
        <item x="8"/>
        <item x="31"/>
        <item x="36"/>
        <item x="7"/>
        <item x="34"/>
        <item x="26"/>
        <item x="20"/>
        <item x="12"/>
        <item x="27"/>
        <item x="35"/>
        <item x="23"/>
        <item x="5"/>
        <item x="10"/>
        <item x="17"/>
        <item x="28"/>
        <item x="9"/>
        <item x="15"/>
        <item x="18"/>
        <item x="19"/>
        <item x="32"/>
        <item x="21"/>
        <item x="29"/>
        <item x="14"/>
        <item x="25"/>
        <item x="30"/>
        <item x="16"/>
        <item x="11"/>
        <item x="2"/>
        <item x="13"/>
        <item x="22"/>
        <item x="24"/>
        <item x="3"/>
        <item x="6"/>
        <item x="0"/>
        <item x="1"/>
        <item t="default"/>
      </items>
    </pivotField>
    <pivotField compact="0" showAll="0">
      <items count="38">
        <item x="22"/>
        <item x="11"/>
        <item x="35"/>
        <item x="20"/>
        <item x="24"/>
        <item x="23"/>
        <item x="15"/>
        <item x="36"/>
        <item x="26"/>
        <item x="9"/>
        <item x="0"/>
        <item x="13"/>
        <item x="25"/>
        <item x="16"/>
        <item x="2"/>
        <item x="7"/>
        <item x="10"/>
        <item x="14"/>
        <item x="17"/>
        <item x="30"/>
        <item x="5"/>
        <item x="8"/>
        <item x="12"/>
        <item x="18"/>
        <item x="21"/>
        <item x="3"/>
        <item x="1"/>
        <item x="19"/>
        <item x="28"/>
        <item x="33"/>
        <item x="6"/>
        <item x="27"/>
        <item x="34"/>
        <item x="31"/>
        <item x="4"/>
        <item x="29"/>
        <item x="32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>
      <items count="21">
        <item x="9"/>
        <item x="2"/>
        <item x="13"/>
        <item x="1"/>
        <item x="3"/>
        <item x="5"/>
        <item x="11"/>
        <item x="10"/>
        <item x="0"/>
        <item x="4"/>
        <item x="6"/>
        <item x="14"/>
        <item x="15"/>
        <item x="7"/>
        <item x="12"/>
        <item x="18"/>
        <item x="16"/>
        <item x="8"/>
        <item x="17"/>
        <item x="19"/>
        <item t="default"/>
      </items>
    </pivotField>
    <pivotField compact="0" numFmtId="14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求和项:数量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L1:M43" firstHeaderRow="1" firstDataRow="1" firstDataCol="1"/>
  <pivotFields count="11"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7">
        <item x="5"/>
        <item x="1"/>
        <item x="4"/>
        <item x="0"/>
        <item x="3"/>
        <item x="2"/>
        <item t="default"/>
      </items>
    </pivotField>
    <pivotField compact="0" showAll="0">
      <items count="17">
        <item x="9"/>
        <item x="15"/>
        <item x="11"/>
        <item x="7"/>
        <item x="6"/>
        <item x="2"/>
        <item x="4"/>
        <item x="10"/>
        <item x="1"/>
        <item x="12"/>
        <item x="5"/>
        <item x="8"/>
        <item x="14"/>
        <item x="13"/>
        <item x="3"/>
        <item x="0"/>
        <item t="default"/>
      </items>
    </pivotField>
    <pivotField compact="0" showAll="0">
      <items count="42">
        <item x="38"/>
        <item x="12"/>
        <item x="13"/>
        <item x="32"/>
        <item x="31"/>
        <item x="5"/>
        <item x="14"/>
        <item x="33"/>
        <item x="27"/>
        <item x="17"/>
        <item x="15"/>
        <item x="39"/>
        <item x="37"/>
        <item x="20"/>
        <item x="7"/>
        <item x="18"/>
        <item x="6"/>
        <item x="25"/>
        <item x="10"/>
        <item x="21"/>
        <item x="4"/>
        <item x="2"/>
        <item x="11"/>
        <item x="23"/>
        <item x="29"/>
        <item x="35"/>
        <item x="0"/>
        <item x="28"/>
        <item x="30"/>
        <item x="34"/>
        <item x="24"/>
        <item x="40"/>
        <item x="22"/>
        <item x="26"/>
        <item x="16"/>
        <item x="1"/>
        <item x="8"/>
        <item x="36"/>
        <item x="9"/>
        <item x="3"/>
        <item x="19"/>
        <item t="default"/>
      </items>
    </pivotField>
    <pivotField axis="axisRow" compact="0" showAll="0">
      <items count="42">
        <item x="25"/>
        <item x="17"/>
        <item x="3"/>
        <item x="12"/>
        <item x="32"/>
        <item x="40"/>
        <item x="24"/>
        <item x="21"/>
        <item x="37"/>
        <item x="7"/>
        <item x="26"/>
        <item x="22"/>
        <item x="14"/>
        <item x="23"/>
        <item x="36"/>
        <item x="18"/>
        <item x="9"/>
        <item x="30"/>
        <item x="15"/>
        <item x="10"/>
        <item x="38"/>
        <item x="33"/>
        <item x="20"/>
        <item x="16"/>
        <item x="11"/>
        <item x="39"/>
        <item x="27"/>
        <item x="13"/>
        <item x="31"/>
        <item x="1"/>
        <item x="4"/>
        <item x="2"/>
        <item x="6"/>
        <item x="34"/>
        <item x="8"/>
        <item x="28"/>
        <item x="0"/>
        <item x="35"/>
        <item x="19"/>
        <item x="29"/>
        <item x="5"/>
        <item t="default"/>
      </items>
    </pivotField>
    <pivotField dataField="1" compact="0" showAll="0">
      <items count="93">
        <item x="7"/>
        <item x="36"/>
        <item x="10"/>
        <item x="24"/>
        <item x="11"/>
        <item x="47"/>
        <item x="9"/>
        <item x="51"/>
        <item x="81"/>
        <item x="45"/>
        <item x="80"/>
        <item x="65"/>
        <item x="25"/>
        <item x="78"/>
        <item x="31"/>
        <item x="29"/>
        <item x="13"/>
        <item x="74"/>
        <item x="55"/>
        <item x="28"/>
        <item x="79"/>
        <item x="22"/>
        <item x="38"/>
        <item x="39"/>
        <item x="56"/>
        <item x="59"/>
        <item x="86"/>
        <item x="46"/>
        <item x="3"/>
        <item x="32"/>
        <item x="40"/>
        <item x="30"/>
        <item x="67"/>
        <item x="70"/>
        <item x="33"/>
        <item x="64"/>
        <item x="19"/>
        <item x="14"/>
        <item x="2"/>
        <item x="48"/>
        <item x="57"/>
        <item x="41"/>
        <item x="34"/>
        <item x="17"/>
        <item x="82"/>
        <item x="50"/>
        <item x="62"/>
        <item x="61"/>
        <item x="73"/>
        <item x="20"/>
        <item x="85"/>
        <item x="8"/>
        <item x="76"/>
        <item x="18"/>
        <item x="23"/>
        <item x="26"/>
        <item x="37"/>
        <item x="88"/>
        <item x="75"/>
        <item x="83"/>
        <item x="4"/>
        <item x="12"/>
        <item x="52"/>
        <item x="15"/>
        <item x="91"/>
        <item x="60"/>
        <item x="90"/>
        <item x="35"/>
        <item x="0"/>
        <item x="87"/>
        <item x="71"/>
        <item x="42"/>
        <item x="54"/>
        <item x="44"/>
        <item x="49"/>
        <item x="16"/>
        <item x="6"/>
        <item x="68"/>
        <item x="43"/>
        <item x="77"/>
        <item x="58"/>
        <item x="21"/>
        <item x="63"/>
        <item x="1"/>
        <item x="84"/>
        <item x="69"/>
        <item x="89"/>
        <item x="27"/>
        <item x="53"/>
        <item x="72"/>
        <item x="66"/>
        <item x="5"/>
        <item t="default"/>
      </items>
    </pivotField>
    <pivotField compact="0" showAll="0">
      <items count="42">
        <item x="38"/>
        <item x="6"/>
        <item x="18"/>
        <item x="7"/>
        <item x="15"/>
        <item x="8"/>
        <item x="37"/>
        <item x="27"/>
        <item x="9"/>
        <item x="28"/>
        <item x="26"/>
        <item x="29"/>
        <item x="30"/>
        <item x="19"/>
        <item x="20"/>
        <item x="21"/>
        <item x="22"/>
        <item x="10"/>
        <item x="11"/>
        <item x="33"/>
        <item x="13"/>
        <item x="25"/>
        <item x="17"/>
        <item x="3"/>
        <item x="34"/>
        <item x="4"/>
        <item x="40"/>
        <item x="39"/>
        <item x="5"/>
        <item x="14"/>
        <item x="32"/>
        <item x="24"/>
        <item x="35"/>
        <item x="0"/>
        <item x="23"/>
        <item x="12"/>
        <item x="31"/>
        <item x="1"/>
        <item x="36"/>
        <item x="16"/>
        <item x="2"/>
        <item t="default"/>
      </items>
    </pivotField>
    <pivotField compact="0" showAll="0">
      <items count="40">
        <item x="27"/>
        <item x="6"/>
        <item x="1"/>
        <item x="10"/>
        <item x="25"/>
        <item x="26"/>
        <item x="16"/>
        <item x="29"/>
        <item x="24"/>
        <item x="31"/>
        <item x="0"/>
        <item x="15"/>
        <item x="37"/>
        <item x="19"/>
        <item x="23"/>
        <item x="3"/>
        <item x="28"/>
        <item x="34"/>
        <item x="2"/>
        <item x="17"/>
        <item x="7"/>
        <item x="32"/>
        <item x="14"/>
        <item x="11"/>
        <item x="4"/>
        <item x="9"/>
        <item x="35"/>
        <item x="30"/>
        <item x="20"/>
        <item x="13"/>
        <item x="21"/>
        <item x="12"/>
        <item x="8"/>
        <item x="22"/>
        <item x="36"/>
        <item x="18"/>
        <item x="5"/>
        <item x="33"/>
        <item x="38"/>
        <item t="default"/>
      </items>
    </pivotField>
    <pivotField compact="0" numFmtId="14" showAll="0">
      <items count="2">
        <item x="0"/>
        <item t="default"/>
      </items>
    </pivotField>
  </pivotFields>
  <rowFields count="1">
    <field x="6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求和项:数量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126"/>
  <sheetViews>
    <sheetView tabSelected="1" zoomScale="145" zoomScaleNormal="145" topLeftCell="A86" workbookViewId="0">
      <selection activeCell="D97" sqref="D97"/>
    </sheetView>
  </sheetViews>
  <sheetFormatPr defaultColWidth="9" defaultRowHeight="12"/>
  <cols>
    <col min="1" max="1" width="9.625" style="4" customWidth="1"/>
    <col min="2" max="2" width="17.6666666666667" style="5" customWidth="1"/>
    <col min="3" max="3" width="3.125" style="4" hidden="1" customWidth="1"/>
    <col min="4" max="4" width="22.15" style="4" customWidth="1"/>
    <col min="5" max="5" width="10.375" style="4" customWidth="1"/>
    <col min="6" max="6" width="7.625" style="4" customWidth="1"/>
    <col min="7" max="7" width="7.125" style="4" customWidth="1"/>
    <col min="8" max="9" width="7.625" style="4" customWidth="1"/>
    <col min="10" max="10" width="13.875" style="4" customWidth="1"/>
    <col min="11" max="93" width="9" style="4"/>
    <col min="94" max="94" width="59.625" style="4" customWidth="1"/>
    <col min="95" max="16384" width="9" style="4"/>
  </cols>
  <sheetData>
    <row r="1" ht="25.5" spans="1:9">
      <c r="A1" s="6" t="s">
        <v>0</v>
      </c>
      <c r="B1" s="7"/>
      <c r="C1" s="6"/>
      <c r="D1" s="6"/>
      <c r="E1" s="6"/>
      <c r="F1" s="6"/>
      <c r="G1" s="6"/>
      <c r="H1" s="6"/>
      <c r="I1" s="6"/>
    </row>
    <row r="2" ht="20.25" spans="1:9">
      <c r="A2" s="8" t="s">
        <v>1</v>
      </c>
      <c r="B2" s="9"/>
      <c r="C2" s="8"/>
      <c r="D2" s="8"/>
      <c r="E2" s="8"/>
      <c r="F2" s="8"/>
      <c r="G2" s="8"/>
      <c r="H2" s="8"/>
      <c r="I2" s="8"/>
    </row>
    <row r="3" spans="1:9">
      <c r="A3" s="10" t="s">
        <v>2</v>
      </c>
      <c r="B3" s="11"/>
      <c r="C3" s="10"/>
      <c r="D3" s="10"/>
      <c r="E3" s="10"/>
      <c r="F3" s="10"/>
      <c r="G3" s="10"/>
      <c r="H3" s="10"/>
      <c r="I3" s="10"/>
    </row>
    <row r="4" spans="1:9">
      <c r="A4" s="12" t="s">
        <v>3</v>
      </c>
      <c r="B4" s="13" t="s">
        <v>4</v>
      </c>
      <c r="C4" s="14"/>
      <c r="D4" s="14"/>
      <c r="E4" s="14"/>
      <c r="F4" s="14"/>
      <c r="G4" s="15"/>
      <c r="H4" s="15"/>
      <c r="I4" s="15"/>
    </row>
    <row r="5" spans="1:9">
      <c r="A5" s="12" t="s">
        <v>5</v>
      </c>
      <c r="B5" s="11" t="s">
        <v>6</v>
      </c>
      <c r="C5" s="10"/>
      <c r="D5" s="10"/>
      <c r="E5" s="10"/>
      <c r="F5" s="10"/>
      <c r="G5" s="15"/>
      <c r="H5" s="15"/>
      <c r="I5" s="15"/>
    </row>
    <row r="6" spans="1:9">
      <c r="A6" s="12" t="s">
        <v>7</v>
      </c>
      <c r="B6" s="13" t="s">
        <v>4</v>
      </c>
      <c r="C6" s="14"/>
      <c r="D6" s="14"/>
      <c r="E6" s="14"/>
      <c r="F6" s="14"/>
      <c r="G6" s="15"/>
      <c r="H6" s="15"/>
      <c r="I6" s="15"/>
    </row>
    <row r="7" ht="24" customHeight="1" spans="1:94">
      <c r="A7" s="12" t="s">
        <v>8</v>
      </c>
      <c r="B7" s="11" t="s">
        <v>9</v>
      </c>
      <c r="C7" s="11"/>
      <c r="D7" s="11"/>
      <c r="E7" s="11"/>
      <c r="F7" s="11"/>
      <c r="G7" s="15"/>
      <c r="H7" s="15"/>
      <c r="I7" s="15"/>
      <c r="CP7" s="5"/>
    </row>
    <row r="8" customHeight="1" spans="1:94">
      <c r="A8" s="12" t="s">
        <v>10</v>
      </c>
      <c r="B8" s="11"/>
      <c r="C8" s="11"/>
      <c r="D8" s="11"/>
      <c r="E8" s="11"/>
      <c r="F8" s="11"/>
      <c r="G8" s="15"/>
      <c r="H8" s="15"/>
      <c r="I8" s="15"/>
      <c r="CP8" s="5"/>
    </row>
    <row r="9" spans="1:9">
      <c r="A9" s="12" t="s">
        <v>11</v>
      </c>
      <c r="B9" s="11"/>
      <c r="C9" s="10"/>
      <c r="D9" s="10"/>
      <c r="E9" s="10"/>
      <c r="F9" s="10"/>
      <c r="G9" s="15"/>
      <c r="H9" s="15"/>
      <c r="I9" s="15"/>
    </row>
    <row r="10" spans="1:9">
      <c r="A10" s="16" t="s">
        <v>12</v>
      </c>
      <c r="B10" s="11">
        <f>SUM(G38:G50,G52:G60,G62:G69,G73:G75,G79:G98)</f>
        <v>1393.3</v>
      </c>
      <c r="C10" s="10"/>
      <c r="D10" s="10"/>
      <c r="E10" s="10"/>
      <c r="F10" s="10"/>
      <c r="G10" s="15"/>
      <c r="H10" s="15"/>
      <c r="I10" s="15"/>
    </row>
    <row r="11" ht="24" spans="1:9">
      <c r="A11" s="16" t="s">
        <v>13</v>
      </c>
      <c r="B11" s="17">
        <f>10.5*60*60/B10</f>
        <v>27.129835642001</v>
      </c>
      <c r="C11" s="18"/>
      <c r="D11" s="18"/>
      <c r="E11" s="18"/>
      <c r="F11" s="18"/>
      <c r="G11" s="15"/>
      <c r="H11" s="15"/>
      <c r="I11" s="15"/>
    </row>
    <row r="12" spans="1:9">
      <c r="A12" s="12" t="s">
        <v>14</v>
      </c>
      <c r="B12" s="11"/>
      <c r="C12" s="10"/>
      <c r="D12" s="10"/>
      <c r="E12" s="10"/>
      <c r="F12" s="10"/>
      <c r="G12" s="15"/>
      <c r="H12" s="15"/>
      <c r="I12" s="15"/>
    </row>
    <row r="13" spans="1:9">
      <c r="A13" s="12" t="s">
        <v>15</v>
      </c>
      <c r="B13" s="19"/>
      <c r="C13" s="20"/>
      <c r="D13" s="20"/>
      <c r="E13" s="20"/>
      <c r="F13" s="20"/>
      <c r="G13" s="15"/>
      <c r="H13" s="15"/>
      <c r="I13" s="15"/>
    </row>
    <row r="14" spans="1:9">
      <c r="A14" s="16" t="s">
        <v>16</v>
      </c>
      <c r="B14" s="11"/>
      <c r="C14" s="10"/>
      <c r="D14" s="10"/>
      <c r="E14" s="10"/>
      <c r="F14" s="10"/>
      <c r="G14" s="15"/>
      <c r="H14" s="15"/>
      <c r="I14" s="15"/>
    </row>
    <row r="15" spans="1:9">
      <c r="A15" s="16" t="s">
        <v>17</v>
      </c>
      <c r="B15" s="11"/>
      <c r="C15" s="10"/>
      <c r="D15" s="10"/>
      <c r="E15" s="10"/>
      <c r="F15" s="10"/>
      <c r="G15" s="15"/>
      <c r="H15" s="15"/>
      <c r="I15" s="15"/>
    </row>
    <row r="16" spans="1:9">
      <c r="A16" s="16" t="s">
        <v>18</v>
      </c>
      <c r="B16" s="11"/>
      <c r="C16" s="10"/>
      <c r="D16" s="10"/>
      <c r="E16" s="10"/>
      <c r="F16" s="10"/>
      <c r="G16" s="15"/>
      <c r="H16" s="15"/>
      <c r="I16" s="15"/>
    </row>
    <row r="17" spans="1:9">
      <c r="A17" s="16" t="s">
        <v>19</v>
      </c>
      <c r="B17" s="11"/>
      <c r="C17" s="10"/>
      <c r="D17" s="10"/>
      <c r="E17" s="10"/>
      <c r="F17" s="10"/>
      <c r="G17" s="15"/>
      <c r="H17" s="15"/>
      <c r="I17" s="15"/>
    </row>
    <row r="18" customHeight="1" spans="1:94">
      <c r="A18" s="12" t="s">
        <v>20</v>
      </c>
      <c r="B18" s="11"/>
      <c r="C18" s="11"/>
      <c r="D18" s="11"/>
      <c r="E18" s="11"/>
      <c r="F18" s="11"/>
      <c r="G18" s="15"/>
      <c r="H18" s="15"/>
      <c r="I18" s="15"/>
      <c r="CP18" s="5"/>
    </row>
    <row r="19" spans="1:9">
      <c r="A19" s="12" t="s">
        <v>21</v>
      </c>
      <c r="B19" s="11" t="s">
        <v>22</v>
      </c>
      <c r="C19" s="10"/>
      <c r="D19" s="10"/>
      <c r="E19" s="10"/>
      <c r="F19" s="10"/>
      <c r="G19" s="15"/>
      <c r="H19" s="15"/>
      <c r="I19" s="15"/>
    </row>
    <row r="20" spans="1:9">
      <c r="A20" s="21" t="s">
        <v>23</v>
      </c>
      <c r="B20" s="21" t="s">
        <v>24</v>
      </c>
      <c r="C20" s="21"/>
      <c r="D20" s="21"/>
      <c r="E20" s="21" t="s">
        <v>25</v>
      </c>
      <c r="F20" s="21" t="s">
        <v>26</v>
      </c>
      <c r="G20" s="21" t="s">
        <v>27</v>
      </c>
      <c r="H20" s="21" t="s">
        <v>28</v>
      </c>
      <c r="I20" s="21" t="s">
        <v>29</v>
      </c>
    </row>
    <row r="21" spans="1:9">
      <c r="A21" s="22"/>
      <c r="B21" s="23" t="s">
        <v>30</v>
      </c>
      <c r="C21" s="15"/>
      <c r="D21" s="12" t="s">
        <v>30</v>
      </c>
      <c r="E21" s="12"/>
      <c r="F21" s="12"/>
      <c r="G21" s="12"/>
      <c r="H21" s="12"/>
      <c r="I21" s="12"/>
    </row>
    <row r="22" spans="1:9">
      <c r="A22" s="24"/>
      <c r="B22" s="25" t="s">
        <v>31</v>
      </c>
      <c r="C22" s="26">
        <v>1</v>
      </c>
      <c r="D22" s="27" t="s">
        <v>32</v>
      </c>
      <c r="E22" s="27" t="s">
        <v>33</v>
      </c>
      <c r="F22" s="28">
        <v>7.3</v>
      </c>
      <c r="G22" s="28">
        <v>8.2</v>
      </c>
      <c r="H22" s="26" t="s">
        <v>34</v>
      </c>
      <c r="I22" s="37">
        <v>439</v>
      </c>
    </row>
    <row r="23" spans="1:9">
      <c r="A23" s="24">
        <v>155</v>
      </c>
      <c r="B23" s="25" t="s">
        <v>35</v>
      </c>
      <c r="C23" s="26">
        <v>2</v>
      </c>
      <c r="D23" s="27" t="s">
        <v>36</v>
      </c>
      <c r="E23" s="27" t="s">
        <v>37</v>
      </c>
      <c r="F23" s="28">
        <v>19.1</v>
      </c>
      <c r="G23" s="28">
        <v>21.5</v>
      </c>
      <c r="H23" s="26" t="s">
        <v>38</v>
      </c>
      <c r="I23" s="37">
        <v>167</v>
      </c>
    </row>
    <row r="24" spans="1:9">
      <c r="A24" s="24">
        <v>2</v>
      </c>
      <c r="B24" s="25" t="s">
        <v>39</v>
      </c>
      <c r="C24" s="26">
        <v>3</v>
      </c>
      <c r="D24" s="27" t="s">
        <v>40</v>
      </c>
      <c r="E24" s="27" t="s">
        <v>41</v>
      </c>
      <c r="F24" s="28">
        <v>12.2</v>
      </c>
      <c r="G24" s="28">
        <v>13.7</v>
      </c>
      <c r="H24" s="26" t="s">
        <v>42</v>
      </c>
      <c r="I24" s="37">
        <v>263</v>
      </c>
    </row>
    <row r="25" spans="1:9">
      <c r="A25" s="24">
        <v>5</v>
      </c>
      <c r="B25" s="29" t="s">
        <v>43</v>
      </c>
      <c r="C25" s="26">
        <v>4</v>
      </c>
      <c r="D25" s="27" t="s">
        <v>44</v>
      </c>
      <c r="E25" s="27" t="s">
        <v>45</v>
      </c>
      <c r="F25" s="28">
        <v>15.7</v>
      </c>
      <c r="G25" s="28">
        <v>17.3</v>
      </c>
      <c r="H25" s="26" t="s">
        <v>34</v>
      </c>
      <c r="I25" s="37">
        <v>208</v>
      </c>
    </row>
    <row r="26" spans="1:9">
      <c r="A26" s="24">
        <v>16</v>
      </c>
      <c r="B26" s="25" t="s">
        <v>46</v>
      </c>
      <c r="C26" s="26">
        <v>5</v>
      </c>
      <c r="D26" s="27" t="s">
        <v>47</v>
      </c>
      <c r="E26" s="27" t="s">
        <v>45</v>
      </c>
      <c r="F26" s="28">
        <v>15.5</v>
      </c>
      <c r="G26" s="28">
        <v>17.1</v>
      </c>
      <c r="H26" s="26" t="s">
        <v>34</v>
      </c>
      <c r="I26" s="37">
        <v>211</v>
      </c>
    </row>
    <row r="27" spans="1:9">
      <c r="A27" s="24">
        <v>170</v>
      </c>
      <c r="B27" s="25" t="s">
        <v>48</v>
      </c>
      <c r="C27" s="26">
        <v>6</v>
      </c>
      <c r="D27" s="27" t="s">
        <v>49</v>
      </c>
      <c r="E27" s="27" t="s">
        <v>45</v>
      </c>
      <c r="F27" s="28">
        <v>19.7</v>
      </c>
      <c r="G27" s="28">
        <v>21.8</v>
      </c>
      <c r="H27" s="26" t="s">
        <v>38</v>
      </c>
      <c r="I27" s="37">
        <v>165</v>
      </c>
    </row>
    <row r="28" spans="1:9">
      <c r="A28" s="24">
        <v>6</v>
      </c>
      <c r="B28" s="25" t="s">
        <v>50</v>
      </c>
      <c r="C28" s="26">
        <v>7</v>
      </c>
      <c r="D28" s="27" t="s">
        <v>51</v>
      </c>
      <c r="E28" s="27" t="s">
        <v>37</v>
      </c>
      <c r="F28" s="28">
        <v>0.9</v>
      </c>
      <c r="G28" s="28">
        <v>1</v>
      </c>
      <c r="H28" s="26" t="s">
        <v>38</v>
      </c>
      <c r="I28" s="37">
        <v>3600</v>
      </c>
    </row>
    <row r="29" spans="1:9">
      <c r="A29" s="24">
        <v>9</v>
      </c>
      <c r="B29" s="25" t="s">
        <v>52</v>
      </c>
      <c r="C29" s="26">
        <v>8</v>
      </c>
      <c r="D29" s="27" t="s">
        <v>53</v>
      </c>
      <c r="E29" s="27" t="s">
        <v>54</v>
      </c>
      <c r="F29" s="28">
        <v>1</v>
      </c>
      <c r="G29" s="28">
        <v>1.1</v>
      </c>
      <c r="H29" s="26" t="s">
        <v>42</v>
      </c>
      <c r="I29" s="37">
        <v>3273</v>
      </c>
    </row>
    <row r="30" spans="1:9">
      <c r="A30" s="24">
        <v>3</v>
      </c>
      <c r="B30" s="25" t="s">
        <v>55</v>
      </c>
      <c r="C30" s="26">
        <v>9</v>
      </c>
      <c r="D30" s="27" t="s">
        <v>56</v>
      </c>
      <c r="E30" s="27" t="s">
        <v>45</v>
      </c>
      <c r="F30" s="28">
        <v>0.8</v>
      </c>
      <c r="G30" s="28">
        <v>0.9</v>
      </c>
      <c r="H30" s="26" t="s">
        <v>34</v>
      </c>
      <c r="I30" s="37">
        <v>4000</v>
      </c>
    </row>
    <row r="31" spans="1:9">
      <c r="A31" s="24">
        <v>8</v>
      </c>
      <c r="B31" s="25" t="s">
        <v>57</v>
      </c>
      <c r="C31" s="26">
        <v>10</v>
      </c>
      <c r="D31" s="27" t="s">
        <v>58</v>
      </c>
      <c r="E31" s="27" t="s">
        <v>37</v>
      </c>
      <c r="F31" s="28">
        <v>0.6</v>
      </c>
      <c r="G31" s="28">
        <v>0.7</v>
      </c>
      <c r="H31" s="26" t="s">
        <v>34</v>
      </c>
      <c r="I31" s="37">
        <v>5143</v>
      </c>
    </row>
    <row r="32" spans="1:9">
      <c r="A32" s="24">
        <v>4</v>
      </c>
      <c r="B32" s="25" t="s">
        <v>59</v>
      </c>
      <c r="C32" s="26">
        <v>11</v>
      </c>
      <c r="D32" s="27" t="s">
        <v>60</v>
      </c>
      <c r="E32" s="27" t="s">
        <v>54</v>
      </c>
      <c r="F32" s="28">
        <v>0.5</v>
      </c>
      <c r="G32" s="28">
        <v>0.5</v>
      </c>
      <c r="H32" s="26" t="s">
        <v>42</v>
      </c>
      <c r="I32" s="37">
        <v>7200</v>
      </c>
    </row>
    <row r="33" spans="1:9">
      <c r="A33" s="24">
        <v>7</v>
      </c>
      <c r="B33" s="25" t="s">
        <v>61</v>
      </c>
      <c r="C33" s="26">
        <v>12</v>
      </c>
      <c r="D33" s="27" t="s">
        <v>62</v>
      </c>
      <c r="E33" s="27" t="s">
        <v>45</v>
      </c>
      <c r="F33" s="28">
        <v>0.3</v>
      </c>
      <c r="G33" s="28">
        <v>0.3</v>
      </c>
      <c r="H33" s="26" t="s">
        <v>63</v>
      </c>
      <c r="I33" s="37">
        <v>12000</v>
      </c>
    </row>
    <row r="34" spans="1:9">
      <c r="A34" s="24">
        <v>15</v>
      </c>
      <c r="B34" s="25" t="s">
        <v>64</v>
      </c>
      <c r="C34" s="26">
        <v>13</v>
      </c>
      <c r="D34" s="27" t="s">
        <v>64</v>
      </c>
      <c r="E34" s="27" t="s">
        <v>65</v>
      </c>
      <c r="F34" s="28">
        <v>11.1</v>
      </c>
      <c r="G34" s="28">
        <v>12.5</v>
      </c>
      <c r="H34" s="26" t="s">
        <v>34</v>
      </c>
      <c r="I34" s="37">
        <v>288</v>
      </c>
    </row>
    <row r="35" spans="1:9">
      <c r="A35" s="24">
        <v>10</v>
      </c>
      <c r="B35" s="25" t="s">
        <v>66</v>
      </c>
      <c r="C35" s="26">
        <v>14</v>
      </c>
      <c r="D35" s="27" t="s">
        <v>67</v>
      </c>
      <c r="E35" s="27" t="s">
        <v>68</v>
      </c>
      <c r="F35" s="28">
        <v>0.4</v>
      </c>
      <c r="G35" s="28">
        <v>0.4</v>
      </c>
      <c r="H35" s="26" t="s">
        <v>38</v>
      </c>
      <c r="I35" s="37">
        <v>9000</v>
      </c>
    </row>
    <row r="36" spans="1:9">
      <c r="A36" s="24">
        <v>11</v>
      </c>
      <c r="B36" s="25" t="s">
        <v>69</v>
      </c>
      <c r="C36" s="26"/>
      <c r="D36" s="27"/>
      <c r="E36" s="27"/>
      <c r="F36" s="28"/>
      <c r="G36" s="28"/>
      <c r="H36" s="26"/>
      <c r="I36" s="37"/>
    </row>
    <row r="37" spans="1:9">
      <c r="A37" s="22"/>
      <c r="B37" s="23" t="s">
        <v>70</v>
      </c>
      <c r="C37" s="15"/>
      <c r="D37" s="12" t="s">
        <v>70</v>
      </c>
      <c r="E37" s="12"/>
      <c r="F37" s="12"/>
      <c r="G37" s="12"/>
      <c r="H37" s="12"/>
      <c r="I37" s="12"/>
    </row>
    <row r="38" ht="24" spans="1:9">
      <c r="A38" s="24">
        <v>14</v>
      </c>
      <c r="B38" s="25" t="s">
        <v>71</v>
      </c>
      <c r="C38" s="26">
        <v>15</v>
      </c>
      <c r="D38" s="27" t="s">
        <v>71</v>
      </c>
      <c r="E38" s="27" t="s">
        <v>72</v>
      </c>
      <c r="F38" s="28">
        <v>1.4</v>
      </c>
      <c r="G38" s="28">
        <v>1.4</v>
      </c>
      <c r="H38" s="26" t="s">
        <v>63</v>
      </c>
      <c r="I38" s="37">
        <v>2571</v>
      </c>
    </row>
    <row r="39" spans="1:9">
      <c r="A39" s="24">
        <v>21</v>
      </c>
      <c r="B39" s="25" t="s">
        <v>73</v>
      </c>
      <c r="C39" s="26">
        <v>16</v>
      </c>
      <c r="D39" s="27" t="s">
        <v>74</v>
      </c>
      <c r="E39" s="27" t="s">
        <v>45</v>
      </c>
      <c r="F39" s="28">
        <v>3.6</v>
      </c>
      <c r="G39" s="28">
        <v>4</v>
      </c>
      <c r="H39" s="26" t="s">
        <v>63</v>
      </c>
      <c r="I39" s="37">
        <v>900</v>
      </c>
    </row>
    <row r="40" spans="1:9">
      <c r="A40" s="24">
        <v>22</v>
      </c>
      <c r="B40" s="25" t="s">
        <v>75</v>
      </c>
      <c r="C40" s="26">
        <v>17</v>
      </c>
      <c r="D40" s="27" t="s">
        <v>76</v>
      </c>
      <c r="E40" s="27" t="s">
        <v>77</v>
      </c>
      <c r="F40" s="28">
        <v>7</v>
      </c>
      <c r="G40" s="28">
        <v>7.8</v>
      </c>
      <c r="H40" s="26" t="s">
        <v>42</v>
      </c>
      <c r="I40" s="37">
        <v>462</v>
      </c>
    </row>
    <row r="41" ht="24" spans="1:9">
      <c r="A41" s="24">
        <v>23</v>
      </c>
      <c r="B41" s="25" t="s">
        <v>78</v>
      </c>
      <c r="C41" s="26">
        <v>18</v>
      </c>
      <c r="D41" s="27" t="s">
        <v>79</v>
      </c>
      <c r="E41" s="27" t="s">
        <v>45</v>
      </c>
      <c r="F41" s="28">
        <v>10.3</v>
      </c>
      <c r="G41" s="28">
        <v>11.3</v>
      </c>
      <c r="H41" s="26" t="s">
        <v>63</v>
      </c>
      <c r="I41" s="37">
        <v>319</v>
      </c>
    </row>
    <row r="42" spans="1:9">
      <c r="A42" s="24">
        <v>24</v>
      </c>
      <c r="B42" s="25" t="s">
        <v>80</v>
      </c>
      <c r="C42" s="26">
        <v>19</v>
      </c>
      <c r="D42" s="27" t="s">
        <v>81</v>
      </c>
      <c r="E42" s="27" t="s">
        <v>77</v>
      </c>
      <c r="F42" s="28">
        <v>2</v>
      </c>
      <c r="G42" s="28">
        <v>2.3</v>
      </c>
      <c r="H42" s="26" t="s">
        <v>82</v>
      </c>
      <c r="I42" s="37">
        <v>1565</v>
      </c>
    </row>
    <row r="43" spans="1:9">
      <c r="A43" s="24">
        <v>26</v>
      </c>
      <c r="B43" s="25" t="s">
        <v>83</v>
      </c>
      <c r="C43" s="26">
        <v>20</v>
      </c>
      <c r="D43" s="27" t="s">
        <v>84</v>
      </c>
      <c r="E43" s="27" t="s">
        <v>45</v>
      </c>
      <c r="F43" s="28">
        <v>2.9</v>
      </c>
      <c r="G43" s="28">
        <v>3.2</v>
      </c>
      <c r="H43" s="26" t="s">
        <v>63</v>
      </c>
      <c r="I43" s="37">
        <v>1125</v>
      </c>
    </row>
    <row r="44" spans="1:9">
      <c r="A44" s="24">
        <v>25</v>
      </c>
      <c r="B44" s="25" t="s">
        <v>85</v>
      </c>
      <c r="C44" s="26">
        <v>21</v>
      </c>
      <c r="D44" s="27" t="s">
        <v>86</v>
      </c>
      <c r="E44" s="27" t="s">
        <v>45</v>
      </c>
      <c r="F44" s="28">
        <v>2.6</v>
      </c>
      <c r="G44" s="28">
        <v>2.9</v>
      </c>
      <c r="H44" s="26" t="s">
        <v>63</v>
      </c>
      <c r="I44" s="37">
        <v>1241</v>
      </c>
    </row>
    <row r="45" ht="24" spans="1:9">
      <c r="A45" s="24">
        <v>37</v>
      </c>
      <c r="B45" s="25" t="s">
        <v>87</v>
      </c>
      <c r="C45" s="26">
        <v>22</v>
      </c>
      <c r="D45" s="27" t="s">
        <v>88</v>
      </c>
      <c r="E45" s="27" t="s">
        <v>89</v>
      </c>
      <c r="F45" s="28">
        <v>10.7</v>
      </c>
      <c r="G45" s="28">
        <v>11.9</v>
      </c>
      <c r="H45" s="26" t="s">
        <v>90</v>
      </c>
      <c r="I45" s="37">
        <v>303</v>
      </c>
    </row>
    <row r="46" spans="1:9">
      <c r="A46" s="24">
        <v>32</v>
      </c>
      <c r="B46" s="25" t="s">
        <v>91</v>
      </c>
      <c r="C46" s="26">
        <v>23</v>
      </c>
      <c r="D46" s="27" t="s">
        <v>92</v>
      </c>
      <c r="E46" s="27" t="s">
        <v>77</v>
      </c>
      <c r="F46" s="28">
        <v>10</v>
      </c>
      <c r="G46" s="28">
        <v>11.2</v>
      </c>
      <c r="H46" s="26" t="s">
        <v>42</v>
      </c>
      <c r="I46" s="37">
        <v>321</v>
      </c>
    </row>
    <row r="47" ht="24" spans="1:9">
      <c r="A47" s="24">
        <v>36</v>
      </c>
      <c r="B47" s="25" t="s">
        <v>93</v>
      </c>
      <c r="C47" s="26">
        <v>24</v>
      </c>
      <c r="D47" s="27" t="s">
        <v>94</v>
      </c>
      <c r="E47" s="27" t="s">
        <v>77</v>
      </c>
      <c r="F47" s="28">
        <v>24.2</v>
      </c>
      <c r="G47" s="28">
        <v>26.8</v>
      </c>
      <c r="H47" s="26" t="s">
        <v>95</v>
      </c>
      <c r="I47" s="37">
        <v>134</v>
      </c>
    </row>
    <row r="48" ht="24" spans="1:9">
      <c r="A48" s="24">
        <v>38</v>
      </c>
      <c r="B48" s="25" t="s">
        <v>96</v>
      </c>
      <c r="C48" s="26">
        <v>25</v>
      </c>
      <c r="D48" s="27" t="s">
        <v>97</v>
      </c>
      <c r="E48" s="27" t="s">
        <v>98</v>
      </c>
      <c r="F48" s="28">
        <v>31</v>
      </c>
      <c r="G48" s="28">
        <v>35.3</v>
      </c>
      <c r="H48" s="26" t="s">
        <v>99</v>
      </c>
      <c r="I48" s="37">
        <v>102</v>
      </c>
    </row>
    <row r="49" spans="1:9">
      <c r="A49" s="24">
        <v>29</v>
      </c>
      <c r="B49" s="25" t="s">
        <v>100</v>
      </c>
      <c r="C49" s="26">
        <v>26</v>
      </c>
      <c r="D49" s="27" t="s">
        <v>101</v>
      </c>
      <c r="E49" s="27" t="s">
        <v>45</v>
      </c>
      <c r="F49" s="28">
        <v>6.2</v>
      </c>
      <c r="G49" s="28">
        <v>6.8</v>
      </c>
      <c r="H49" s="26" t="s">
        <v>63</v>
      </c>
      <c r="I49" s="37">
        <v>529</v>
      </c>
    </row>
    <row r="50" spans="1:9">
      <c r="A50" s="24">
        <v>42</v>
      </c>
      <c r="B50" s="25" t="s">
        <v>102</v>
      </c>
      <c r="C50" s="26">
        <v>27</v>
      </c>
      <c r="D50" s="27" t="s">
        <v>103</v>
      </c>
      <c r="E50" s="27" t="s">
        <v>45</v>
      </c>
      <c r="F50" s="28">
        <v>9.4</v>
      </c>
      <c r="G50" s="28">
        <v>10.3</v>
      </c>
      <c r="H50" s="26" t="s">
        <v>34</v>
      </c>
      <c r="I50" s="37">
        <v>350</v>
      </c>
    </row>
    <row r="51" spans="1:9">
      <c r="A51" s="22"/>
      <c r="B51" s="23" t="s">
        <v>104</v>
      </c>
      <c r="C51" s="15"/>
      <c r="D51" s="12" t="s">
        <v>104</v>
      </c>
      <c r="E51" s="12"/>
      <c r="F51" s="12"/>
      <c r="G51" s="12"/>
      <c r="H51" s="12"/>
      <c r="I51" s="12"/>
    </row>
    <row r="52" ht="24" spans="1:9">
      <c r="A52" s="24">
        <v>39</v>
      </c>
      <c r="B52" s="25" t="s">
        <v>105</v>
      </c>
      <c r="C52" s="26">
        <v>28</v>
      </c>
      <c r="D52" s="27" t="s">
        <v>106</v>
      </c>
      <c r="E52" s="27" t="s">
        <v>77</v>
      </c>
      <c r="F52" s="28">
        <v>23</v>
      </c>
      <c r="G52" s="28">
        <v>27.3</v>
      </c>
      <c r="H52" s="26" t="s">
        <v>107</v>
      </c>
      <c r="I52" s="37">
        <v>132</v>
      </c>
    </row>
    <row r="53" ht="24" spans="1:9">
      <c r="A53" s="24">
        <v>57</v>
      </c>
      <c r="B53" s="25" t="s">
        <v>108</v>
      </c>
      <c r="C53" s="26">
        <v>29</v>
      </c>
      <c r="D53" s="27" t="s">
        <v>109</v>
      </c>
      <c r="E53" s="27" t="s">
        <v>45</v>
      </c>
      <c r="F53" s="28">
        <v>19.4</v>
      </c>
      <c r="G53" s="28">
        <v>21.4</v>
      </c>
      <c r="H53" s="26" t="s">
        <v>63</v>
      </c>
      <c r="I53" s="37">
        <v>168</v>
      </c>
    </row>
    <row r="54" ht="24" spans="1:9">
      <c r="A54" s="24">
        <v>17</v>
      </c>
      <c r="B54" s="25" t="s">
        <v>110</v>
      </c>
      <c r="C54" s="26">
        <v>30</v>
      </c>
      <c r="D54" s="27" t="s">
        <v>111</v>
      </c>
      <c r="E54" s="27" t="s">
        <v>77</v>
      </c>
      <c r="F54" s="28">
        <v>25.7</v>
      </c>
      <c r="G54" s="28">
        <v>29.3</v>
      </c>
      <c r="H54" s="26" t="s">
        <v>99</v>
      </c>
      <c r="I54" s="37">
        <v>123</v>
      </c>
    </row>
    <row r="55" ht="24" spans="1:9">
      <c r="A55" s="24">
        <v>18</v>
      </c>
      <c r="B55" s="25" t="s">
        <v>112</v>
      </c>
      <c r="C55" s="26">
        <v>31</v>
      </c>
      <c r="D55" s="27" t="s">
        <v>113</v>
      </c>
      <c r="E55" s="27" t="s">
        <v>114</v>
      </c>
      <c r="F55" s="28">
        <v>14.2</v>
      </c>
      <c r="G55" s="28">
        <v>16</v>
      </c>
      <c r="H55" s="26" t="s">
        <v>42</v>
      </c>
      <c r="I55" s="37">
        <v>225</v>
      </c>
    </row>
    <row r="56" ht="36" spans="1:9">
      <c r="A56" s="24">
        <v>41</v>
      </c>
      <c r="B56" s="25" t="s">
        <v>115</v>
      </c>
      <c r="C56" s="26">
        <v>32</v>
      </c>
      <c r="D56" s="27" t="s">
        <v>116</v>
      </c>
      <c r="E56" s="27" t="s">
        <v>65</v>
      </c>
      <c r="F56" s="28">
        <v>43.9</v>
      </c>
      <c r="G56" s="28">
        <v>49.4</v>
      </c>
      <c r="H56" s="26" t="s">
        <v>117</v>
      </c>
      <c r="I56" s="37">
        <v>73</v>
      </c>
    </row>
    <row r="57" spans="1:9">
      <c r="A57" s="24">
        <v>44</v>
      </c>
      <c r="B57" s="25" t="s">
        <v>118</v>
      </c>
      <c r="C57" s="26">
        <v>33</v>
      </c>
      <c r="D57" s="27" t="s">
        <v>119</v>
      </c>
      <c r="E57" s="27" t="s">
        <v>77</v>
      </c>
      <c r="F57" s="28">
        <v>28.2</v>
      </c>
      <c r="G57" s="28">
        <v>31.7</v>
      </c>
      <c r="H57" s="26" t="s">
        <v>99</v>
      </c>
      <c r="I57" s="37">
        <v>114</v>
      </c>
    </row>
    <row r="58" spans="1:9">
      <c r="A58" s="24">
        <v>45</v>
      </c>
      <c r="B58" s="25" t="s">
        <v>120</v>
      </c>
      <c r="C58" s="26">
        <v>34</v>
      </c>
      <c r="D58" s="27" t="s">
        <v>121</v>
      </c>
      <c r="E58" s="27" t="s">
        <v>77</v>
      </c>
      <c r="F58" s="28">
        <v>24.1</v>
      </c>
      <c r="G58" s="28">
        <v>28.4</v>
      </c>
      <c r="H58" s="26" t="s">
        <v>99</v>
      </c>
      <c r="I58" s="37">
        <v>127</v>
      </c>
    </row>
    <row r="59" ht="24" spans="1:9">
      <c r="A59" s="24">
        <v>46</v>
      </c>
      <c r="B59" s="25" t="s">
        <v>122</v>
      </c>
      <c r="C59" s="26">
        <v>35</v>
      </c>
      <c r="D59" s="27" t="s">
        <v>123</v>
      </c>
      <c r="E59" s="27" t="s">
        <v>124</v>
      </c>
      <c r="F59" s="28">
        <v>30.1</v>
      </c>
      <c r="G59" s="28">
        <v>33.8</v>
      </c>
      <c r="H59" s="26" t="s">
        <v>107</v>
      </c>
      <c r="I59" s="37">
        <v>107</v>
      </c>
    </row>
    <row r="60" ht="24" spans="1:9">
      <c r="A60" s="24">
        <v>47</v>
      </c>
      <c r="B60" s="25" t="s">
        <v>125</v>
      </c>
      <c r="C60" s="26">
        <v>36</v>
      </c>
      <c r="D60" s="27" t="s">
        <v>126</v>
      </c>
      <c r="E60" s="27" t="s">
        <v>77</v>
      </c>
      <c r="F60" s="28">
        <v>47.9</v>
      </c>
      <c r="G60" s="28">
        <v>57.1</v>
      </c>
      <c r="H60" s="26" t="s">
        <v>99</v>
      </c>
      <c r="I60" s="37">
        <v>63</v>
      </c>
    </row>
    <row r="61" spans="1:9">
      <c r="A61" s="24"/>
      <c r="B61" s="23" t="s">
        <v>127</v>
      </c>
      <c r="C61" s="15"/>
      <c r="D61" s="12" t="s">
        <v>127</v>
      </c>
      <c r="E61" s="12"/>
      <c r="F61" s="12"/>
      <c r="G61" s="12"/>
      <c r="H61" s="12"/>
      <c r="I61" s="12"/>
    </row>
    <row r="62" ht="24" customHeight="1" spans="1:9">
      <c r="A62" s="30">
        <v>48</v>
      </c>
      <c r="B62" s="31" t="s">
        <v>128</v>
      </c>
      <c r="C62" s="26">
        <v>37</v>
      </c>
      <c r="D62" s="27" t="s">
        <v>129</v>
      </c>
      <c r="E62" s="27" t="s">
        <v>77</v>
      </c>
      <c r="F62" s="28">
        <v>9</v>
      </c>
      <c r="G62" s="28">
        <v>10</v>
      </c>
      <c r="H62" s="26" t="s">
        <v>82</v>
      </c>
      <c r="I62" s="37">
        <v>360</v>
      </c>
    </row>
    <row r="63" ht="24" customHeight="1" spans="1:10">
      <c r="A63" s="32"/>
      <c r="B63" s="33"/>
      <c r="C63" s="34">
        <v>89</v>
      </c>
      <c r="D63" s="35" t="s">
        <v>130</v>
      </c>
      <c r="E63" s="35" t="s">
        <v>45</v>
      </c>
      <c r="F63" s="36">
        <v>16.3</v>
      </c>
      <c r="G63" s="36">
        <v>18</v>
      </c>
      <c r="H63" s="34" t="s">
        <v>90</v>
      </c>
      <c r="I63" s="38">
        <v>200</v>
      </c>
      <c r="J63" s="4" t="s">
        <v>131</v>
      </c>
    </row>
    <row r="64" ht="24" spans="1:9">
      <c r="A64" s="24">
        <v>49</v>
      </c>
      <c r="B64" s="25" t="s">
        <v>132</v>
      </c>
      <c r="C64" s="26">
        <v>38</v>
      </c>
      <c r="D64" s="27" t="s">
        <v>133</v>
      </c>
      <c r="E64" s="27" t="s">
        <v>77</v>
      </c>
      <c r="F64" s="28">
        <v>17.9</v>
      </c>
      <c r="G64" s="28">
        <v>19.9</v>
      </c>
      <c r="H64" s="26" t="s">
        <v>82</v>
      </c>
      <c r="I64" s="37">
        <v>181</v>
      </c>
    </row>
    <row r="65" ht="24" spans="1:9">
      <c r="A65" s="39">
        <v>50</v>
      </c>
      <c r="B65" s="40" t="s">
        <v>134</v>
      </c>
      <c r="C65" s="41">
        <v>69</v>
      </c>
      <c r="D65" s="42" t="s">
        <v>135</v>
      </c>
      <c r="E65" s="42" t="s">
        <v>77</v>
      </c>
      <c r="F65" s="43">
        <v>18.1</v>
      </c>
      <c r="G65" s="43">
        <v>20.6</v>
      </c>
      <c r="H65" s="41" t="s">
        <v>99</v>
      </c>
      <c r="I65" s="56">
        <v>175</v>
      </c>
    </row>
    <row r="66" s="3" customFormat="1" ht="13.5" spans="1:9">
      <c r="A66" s="39">
        <v>78</v>
      </c>
      <c r="B66" s="40" t="s">
        <v>136</v>
      </c>
      <c r="C66" s="41">
        <v>39</v>
      </c>
      <c r="D66" s="42" t="s">
        <v>137</v>
      </c>
      <c r="E66" s="42" t="s">
        <v>77</v>
      </c>
      <c r="F66" s="43">
        <v>19.9</v>
      </c>
      <c r="G66" s="43">
        <v>22.4</v>
      </c>
      <c r="H66" s="41" t="s">
        <v>99</v>
      </c>
      <c r="I66" s="56">
        <v>161</v>
      </c>
    </row>
    <row r="67" spans="1:9">
      <c r="A67" s="24">
        <v>51</v>
      </c>
      <c r="B67" s="25" t="s">
        <v>138</v>
      </c>
      <c r="C67" s="26">
        <v>40</v>
      </c>
      <c r="D67" s="27" t="s">
        <v>139</v>
      </c>
      <c r="E67" s="27" t="s">
        <v>77</v>
      </c>
      <c r="F67" s="28">
        <v>21.4</v>
      </c>
      <c r="G67" s="28">
        <v>26.2</v>
      </c>
      <c r="H67" s="26" t="s">
        <v>99</v>
      </c>
      <c r="I67" s="37">
        <v>137</v>
      </c>
    </row>
    <row r="68" ht="24" spans="1:9">
      <c r="A68" s="24">
        <v>52</v>
      </c>
      <c r="B68" s="25" t="s">
        <v>140</v>
      </c>
      <c r="C68" s="26">
        <v>41</v>
      </c>
      <c r="D68" s="27" t="s">
        <v>141</v>
      </c>
      <c r="E68" s="27" t="s">
        <v>142</v>
      </c>
      <c r="F68" s="28">
        <v>24.7</v>
      </c>
      <c r="G68" s="28">
        <v>27.8</v>
      </c>
      <c r="H68" s="26" t="s">
        <v>95</v>
      </c>
      <c r="I68" s="37">
        <v>129</v>
      </c>
    </row>
    <row r="69" ht="36" spans="1:10">
      <c r="A69" s="24">
        <v>53</v>
      </c>
      <c r="B69" s="25" t="s">
        <v>143</v>
      </c>
      <c r="C69" s="26">
        <v>42</v>
      </c>
      <c r="D69" s="27" t="s">
        <v>144</v>
      </c>
      <c r="E69" s="27" t="s">
        <v>77</v>
      </c>
      <c r="F69" s="28">
        <v>35.1</v>
      </c>
      <c r="G69" s="28">
        <v>42.4</v>
      </c>
      <c r="H69" s="26" t="s">
        <v>99</v>
      </c>
      <c r="I69" s="37">
        <v>85</v>
      </c>
      <c r="J69" s="57" t="s">
        <v>145</v>
      </c>
    </row>
    <row r="70" ht="24" spans="1:10">
      <c r="A70" s="44">
        <v>80</v>
      </c>
      <c r="B70" s="45" t="s">
        <v>146</v>
      </c>
      <c r="C70" s="34">
        <v>95</v>
      </c>
      <c r="D70" s="35" t="s">
        <v>146</v>
      </c>
      <c r="E70" s="35" t="s">
        <v>45</v>
      </c>
      <c r="F70" s="36">
        <v>9.9</v>
      </c>
      <c r="G70" s="36">
        <v>12.5</v>
      </c>
      <c r="H70" s="34" t="s">
        <v>63</v>
      </c>
      <c r="I70" s="38">
        <v>288</v>
      </c>
      <c r="J70" s="57"/>
    </row>
    <row r="71" ht="24" spans="1:10">
      <c r="A71" s="24">
        <v>81</v>
      </c>
      <c r="B71" s="25" t="s">
        <v>147</v>
      </c>
      <c r="C71" s="26">
        <v>42</v>
      </c>
      <c r="D71" s="27" t="s">
        <v>147</v>
      </c>
      <c r="E71" s="27" t="s">
        <v>77</v>
      </c>
      <c r="F71" s="28">
        <v>30.9</v>
      </c>
      <c r="G71" s="28">
        <v>37.4</v>
      </c>
      <c r="H71" s="26" t="s">
        <v>99</v>
      </c>
      <c r="I71" s="37">
        <v>96</v>
      </c>
      <c r="J71" s="57"/>
    </row>
    <row r="72" spans="1:9">
      <c r="A72" s="22"/>
      <c r="B72" s="23" t="s">
        <v>148</v>
      </c>
      <c r="C72" s="15"/>
      <c r="D72" s="12" t="s">
        <v>148</v>
      </c>
      <c r="E72" s="12"/>
      <c r="F72" s="12"/>
      <c r="G72" s="12"/>
      <c r="H72" s="12"/>
      <c r="I72" s="12"/>
    </row>
    <row r="73" ht="24" spans="1:9">
      <c r="A73" s="24">
        <v>54</v>
      </c>
      <c r="B73" s="25" t="s">
        <v>149</v>
      </c>
      <c r="C73" s="26">
        <v>43</v>
      </c>
      <c r="D73" s="27" t="s">
        <v>150</v>
      </c>
      <c r="E73" s="27" t="s">
        <v>151</v>
      </c>
      <c r="F73" s="28">
        <v>22.3</v>
      </c>
      <c r="G73" s="28">
        <v>25</v>
      </c>
      <c r="H73" s="26" t="s">
        <v>95</v>
      </c>
      <c r="I73" s="37">
        <v>144</v>
      </c>
    </row>
    <row r="74" spans="1:9">
      <c r="A74" s="24">
        <v>55</v>
      </c>
      <c r="B74" s="25" t="s">
        <v>152</v>
      </c>
      <c r="C74" s="26">
        <v>44</v>
      </c>
      <c r="D74" s="27" t="s">
        <v>153</v>
      </c>
      <c r="E74" s="27" t="s">
        <v>77</v>
      </c>
      <c r="F74" s="28">
        <v>18.1</v>
      </c>
      <c r="G74" s="28">
        <v>20.6</v>
      </c>
      <c r="H74" s="26" t="s">
        <v>95</v>
      </c>
      <c r="I74" s="37">
        <v>175</v>
      </c>
    </row>
    <row r="75" ht="24" spans="1:9">
      <c r="A75" s="24">
        <v>56</v>
      </c>
      <c r="B75" s="25" t="s">
        <v>154</v>
      </c>
      <c r="C75" s="26">
        <v>45</v>
      </c>
      <c r="D75" s="27" t="s">
        <v>155</v>
      </c>
      <c r="E75" s="27" t="s">
        <v>77</v>
      </c>
      <c r="F75" s="28">
        <v>7.4</v>
      </c>
      <c r="G75" s="28">
        <v>8.3</v>
      </c>
      <c r="H75" s="26" t="s">
        <v>42</v>
      </c>
      <c r="I75" s="37">
        <v>434</v>
      </c>
    </row>
    <row r="76" spans="1:9">
      <c r="A76" s="22"/>
      <c r="B76" s="23" t="s">
        <v>156</v>
      </c>
      <c r="C76" s="15"/>
      <c r="D76" s="12" t="s">
        <v>156</v>
      </c>
      <c r="E76" s="12"/>
      <c r="F76" s="12"/>
      <c r="G76" s="12"/>
      <c r="H76" s="12"/>
      <c r="I76" s="12"/>
    </row>
    <row r="77" spans="1:9">
      <c r="A77" s="24">
        <v>27</v>
      </c>
      <c r="B77" s="25" t="s">
        <v>157</v>
      </c>
      <c r="C77" s="26">
        <v>46</v>
      </c>
      <c r="D77" s="27" t="s">
        <v>158</v>
      </c>
      <c r="E77" s="27" t="s">
        <v>45</v>
      </c>
      <c r="F77" s="28">
        <v>36</v>
      </c>
      <c r="G77" s="28">
        <v>39.8</v>
      </c>
      <c r="H77" s="26" t="s">
        <v>38</v>
      </c>
      <c r="I77" s="37">
        <v>90</v>
      </c>
    </row>
    <row r="78" ht="24" spans="1:10">
      <c r="A78" s="39">
        <v>79</v>
      </c>
      <c r="B78" s="40" t="s">
        <v>159</v>
      </c>
      <c r="C78" s="34">
        <v>71</v>
      </c>
      <c r="D78" s="35" t="s">
        <v>160</v>
      </c>
      <c r="E78" s="35" t="s">
        <v>77</v>
      </c>
      <c r="F78" s="36"/>
      <c r="G78" s="36"/>
      <c r="H78" s="34"/>
      <c r="I78" s="38"/>
      <c r="J78" s="4" t="s">
        <v>161</v>
      </c>
    </row>
    <row r="79" ht="24" spans="1:9">
      <c r="A79" s="39">
        <v>77</v>
      </c>
      <c r="B79" s="40" t="s">
        <v>162</v>
      </c>
      <c r="C79" s="41">
        <v>47</v>
      </c>
      <c r="D79" s="42" t="s">
        <v>163</v>
      </c>
      <c r="E79" s="42" t="s">
        <v>151</v>
      </c>
      <c r="F79" s="43">
        <v>52.3</v>
      </c>
      <c r="G79" s="43">
        <v>61.7</v>
      </c>
      <c r="H79" s="41" t="s">
        <v>99</v>
      </c>
      <c r="I79" s="56">
        <v>58</v>
      </c>
    </row>
    <row r="80" ht="24" spans="1:9">
      <c r="A80" s="24">
        <v>58</v>
      </c>
      <c r="B80" s="25" t="s">
        <v>164</v>
      </c>
      <c r="C80" s="26">
        <v>48</v>
      </c>
      <c r="D80" s="27" t="s">
        <v>165</v>
      </c>
      <c r="E80" s="27" t="s">
        <v>45</v>
      </c>
      <c r="F80" s="28">
        <v>34.6</v>
      </c>
      <c r="G80" s="28">
        <v>38.2</v>
      </c>
      <c r="H80" s="26" t="s">
        <v>42</v>
      </c>
      <c r="I80" s="37">
        <v>94</v>
      </c>
    </row>
    <row r="81" ht="36" spans="1:9">
      <c r="A81" s="24">
        <v>59</v>
      </c>
      <c r="B81" s="25" t="s">
        <v>166</v>
      </c>
      <c r="C81" s="26">
        <v>49</v>
      </c>
      <c r="D81" s="27" t="s">
        <v>166</v>
      </c>
      <c r="E81" s="27" t="s">
        <v>77</v>
      </c>
      <c r="F81" s="28">
        <v>137.3</v>
      </c>
      <c r="G81" s="28">
        <v>167.2</v>
      </c>
      <c r="H81" s="26" t="s">
        <v>167</v>
      </c>
      <c r="I81" s="37">
        <v>22</v>
      </c>
    </row>
    <row r="82" ht="24" spans="1:9">
      <c r="A82" s="39">
        <v>60</v>
      </c>
      <c r="B82" s="40" t="s">
        <v>168</v>
      </c>
      <c r="C82" s="41">
        <v>50</v>
      </c>
      <c r="D82" s="42" t="s">
        <v>169</v>
      </c>
      <c r="E82" s="42" t="s">
        <v>77</v>
      </c>
      <c r="F82" s="43">
        <v>19.8</v>
      </c>
      <c r="G82" s="43">
        <v>24.1</v>
      </c>
      <c r="H82" s="41" t="s">
        <v>170</v>
      </c>
      <c r="I82" s="56">
        <v>149</v>
      </c>
    </row>
    <row r="83" spans="1:9">
      <c r="A83" s="39">
        <v>75</v>
      </c>
      <c r="B83" s="40" t="s">
        <v>171</v>
      </c>
      <c r="C83" s="41">
        <v>70</v>
      </c>
      <c r="D83" s="42" t="s">
        <v>172</v>
      </c>
      <c r="E83" s="42" t="s">
        <v>77</v>
      </c>
      <c r="F83" s="43">
        <v>31.8</v>
      </c>
      <c r="G83" s="43">
        <v>38.4</v>
      </c>
      <c r="H83" s="41" t="s">
        <v>99</v>
      </c>
      <c r="I83" s="56">
        <v>94</v>
      </c>
    </row>
    <row r="84" ht="24" spans="1:9">
      <c r="A84" s="24">
        <v>61</v>
      </c>
      <c r="B84" s="25" t="s">
        <v>173</v>
      </c>
      <c r="C84" s="26">
        <v>51</v>
      </c>
      <c r="D84" s="27" t="s">
        <v>174</v>
      </c>
      <c r="E84" s="27" t="s">
        <v>65</v>
      </c>
      <c r="F84" s="28">
        <v>25.7</v>
      </c>
      <c r="G84" s="28">
        <v>28.9</v>
      </c>
      <c r="H84" s="26" t="s">
        <v>117</v>
      </c>
      <c r="I84" s="37">
        <v>125</v>
      </c>
    </row>
    <row r="85" ht="24" spans="1:9">
      <c r="A85" s="24">
        <v>62</v>
      </c>
      <c r="B85" s="25" t="s">
        <v>175</v>
      </c>
      <c r="C85" s="26">
        <v>52</v>
      </c>
      <c r="D85" s="27" t="s">
        <v>176</v>
      </c>
      <c r="E85" s="27" t="s">
        <v>45</v>
      </c>
      <c r="F85" s="28">
        <v>12.5</v>
      </c>
      <c r="G85" s="28">
        <v>13.8</v>
      </c>
      <c r="H85" s="26" t="s">
        <v>34</v>
      </c>
      <c r="I85" s="37">
        <v>261</v>
      </c>
    </row>
    <row r="86" ht="24" spans="1:9">
      <c r="A86" s="24">
        <v>63</v>
      </c>
      <c r="B86" s="25" t="s">
        <v>177</v>
      </c>
      <c r="C86" s="26">
        <v>53</v>
      </c>
      <c r="D86" s="27" t="s">
        <v>177</v>
      </c>
      <c r="E86" s="27" t="s">
        <v>89</v>
      </c>
      <c r="F86" s="28">
        <v>21.6</v>
      </c>
      <c r="G86" s="28">
        <v>23.9</v>
      </c>
      <c r="H86" s="26" t="s">
        <v>90</v>
      </c>
      <c r="I86" s="37">
        <v>151</v>
      </c>
    </row>
    <row r="87" ht="24" spans="1:9">
      <c r="A87" s="24">
        <v>64</v>
      </c>
      <c r="B87" s="25" t="s">
        <v>178</v>
      </c>
      <c r="C87" s="26">
        <v>54</v>
      </c>
      <c r="D87" s="27" t="s">
        <v>178</v>
      </c>
      <c r="E87" s="27" t="s">
        <v>151</v>
      </c>
      <c r="F87" s="28">
        <v>14.4</v>
      </c>
      <c r="G87" s="28">
        <v>16.1</v>
      </c>
      <c r="H87" s="26" t="s">
        <v>179</v>
      </c>
      <c r="I87" s="37">
        <v>224</v>
      </c>
    </row>
    <row r="88" spans="1:9">
      <c r="A88" s="39">
        <v>73</v>
      </c>
      <c r="B88" s="40" t="s">
        <v>180</v>
      </c>
      <c r="C88" s="41">
        <v>68</v>
      </c>
      <c r="D88" s="42" t="s">
        <v>181</v>
      </c>
      <c r="E88" s="42" t="s">
        <v>77</v>
      </c>
      <c r="F88" s="43">
        <v>11</v>
      </c>
      <c r="G88" s="43">
        <v>12.2</v>
      </c>
      <c r="H88" s="41" t="s">
        <v>99</v>
      </c>
      <c r="I88" s="56">
        <v>295</v>
      </c>
    </row>
    <row r="89" ht="24" spans="1:9">
      <c r="A89" s="24">
        <v>65</v>
      </c>
      <c r="B89" s="25" t="s">
        <v>182</v>
      </c>
      <c r="C89" s="26">
        <v>55</v>
      </c>
      <c r="D89" s="27" t="s">
        <v>183</v>
      </c>
      <c r="E89" s="27" t="s">
        <v>151</v>
      </c>
      <c r="F89" s="28">
        <v>12.2</v>
      </c>
      <c r="G89" s="28">
        <v>13.7</v>
      </c>
      <c r="H89" s="26" t="s">
        <v>99</v>
      </c>
      <c r="I89" s="37">
        <v>263</v>
      </c>
    </row>
    <row r="90" spans="1:9">
      <c r="A90" s="39">
        <v>74</v>
      </c>
      <c r="B90" s="40" t="s">
        <v>184</v>
      </c>
      <c r="C90" s="41">
        <v>67</v>
      </c>
      <c r="D90" s="42" t="s">
        <v>185</v>
      </c>
      <c r="E90" s="42" t="s">
        <v>77</v>
      </c>
      <c r="F90" s="43">
        <v>12.5</v>
      </c>
      <c r="G90" s="43">
        <v>13.9</v>
      </c>
      <c r="H90" s="41" t="s">
        <v>99</v>
      </c>
      <c r="I90" s="56">
        <v>259</v>
      </c>
    </row>
    <row r="91" ht="24" spans="1:9">
      <c r="A91" s="24">
        <v>66</v>
      </c>
      <c r="B91" s="25" t="s">
        <v>186</v>
      </c>
      <c r="C91" s="26">
        <v>56</v>
      </c>
      <c r="D91" s="27" t="s">
        <v>187</v>
      </c>
      <c r="E91" s="27" t="s">
        <v>151</v>
      </c>
      <c r="F91" s="28">
        <v>29.9</v>
      </c>
      <c r="G91" s="28">
        <v>33.7</v>
      </c>
      <c r="H91" s="26" t="s">
        <v>99</v>
      </c>
      <c r="I91" s="37">
        <v>107</v>
      </c>
    </row>
    <row r="92" ht="24" spans="1:9">
      <c r="A92" s="24">
        <v>67</v>
      </c>
      <c r="B92" s="25" t="s">
        <v>188</v>
      </c>
      <c r="C92" s="26">
        <v>57</v>
      </c>
      <c r="D92" s="46" t="s">
        <v>189</v>
      </c>
      <c r="E92" s="27" t="s">
        <v>77</v>
      </c>
      <c r="F92" s="28">
        <v>51.7</v>
      </c>
      <c r="G92" s="28">
        <v>62.7</v>
      </c>
      <c r="H92" s="26" t="s">
        <v>190</v>
      </c>
      <c r="I92" s="37">
        <v>57</v>
      </c>
    </row>
    <row r="93" ht="24" spans="1:9">
      <c r="A93" s="24">
        <v>68</v>
      </c>
      <c r="B93" s="25" t="s">
        <v>191</v>
      </c>
      <c r="C93" s="26">
        <v>58</v>
      </c>
      <c r="D93" s="27" t="s">
        <v>192</v>
      </c>
      <c r="E93" s="27" t="s">
        <v>142</v>
      </c>
      <c r="F93" s="28">
        <v>20.7</v>
      </c>
      <c r="G93" s="28">
        <v>25.2</v>
      </c>
      <c r="H93" s="26" t="s">
        <v>107</v>
      </c>
      <c r="I93" s="37">
        <v>143</v>
      </c>
    </row>
    <row r="94" spans="1:9">
      <c r="A94" s="24">
        <v>69</v>
      </c>
      <c r="B94" s="25" t="s">
        <v>193</v>
      </c>
      <c r="C94" s="26">
        <v>59</v>
      </c>
      <c r="D94" s="27" t="s">
        <v>193</v>
      </c>
      <c r="E94" s="27" t="s">
        <v>77</v>
      </c>
      <c r="F94" s="28">
        <v>9.5</v>
      </c>
      <c r="G94" s="28">
        <v>10.5</v>
      </c>
      <c r="H94" s="26" t="s">
        <v>107</v>
      </c>
      <c r="I94" s="37">
        <v>343</v>
      </c>
    </row>
    <row r="95" spans="1:9">
      <c r="A95" s="24">
        <v>76</v>
      </c>
      <c r="B95" s="25" t="s">
        <v>194</v>
      </c>
      <c r="C95" s="26">
        <v>60</v>
      </c>
      <c r="D95" s="27" t="s">
        <v>194</v>
      </c>
      <c r="E95" s="27" t="s">
        <v>45</v>
      </c>
      <c r="F95" s="28">
        <v>7.9</v>
      </c>
      <c r="G95" s="28">
        <v>8.7</v>
      </c>
      <c r="H95" s="26" t="s">
        <v>63</v>
      </c>
      <c r="I95" s="37">
        <v>414</v>
      </c>
    </row>
    <row r="96" ht="24" spans="1:9">
      <c r="A96" s="24">
        <v>70</v>
      </c>
      <c r="B96" s="25" t="s">
        <v>195</v>
      </c>
      <c r="C96" s="47">
        <v>61</v>
      </c>
      <c r="D96" s="48" t="s">
        <v>196</v>
      </c>
      <c r="E96" s="27" t="s">
        <v>45</v>
      </c>
      <c r="F96" s="28">
        <v>26.5</v>
      </c>
      <c r="G96" s="28">
        <v>29.3</v>
      </c>
      <c r="H96" s="26" t="s">
        <v>197</v>
      </c>
      <c r="I96" s="37">
        <v>123</v>
      </c>
    </row>
    <row r="97" ht="24" spans="1:9">
      <c r="A97" s="49">
        <v>71</v>
      </c>
      <c r="B97" s="50" t="s">
        <v>198</v>
      </c>
      <c r="C97" s="51">
        <v>62</v>
      </c>
      <c r="D97" s="52" t="s">
        <v>199</v>
      </c>
      <c r="E97" s="27" t="s">
        <v>77</v>
      </c>
      <c r="F97" s="28">
        <v>30.2</v>
      </c>
      <c r="G97" s="28">
        <v>33.3</v>
      </c>
      <c r="H97" s="26" t="s">
        <v>95</v>
      </c>
      <c r="I97" s="37">
        <v>108</v>
      </c>
    </row>
    <row r="98" ht="24" spans="1:9">
      <c r="A98" s="24">
        <v>72</v>
      </c>
      <c r="B98" s="25" t="s">
        <v>200</v>
      </c>
      <c r="C98" s="26">
        <v>63</v>
      </c>
      <c r="D98" s="46" t="s">
        <v>201</v>
      </c>
      <c r="E98" s="27" t="s">
        <v>77</v>
      </c>
      <c r="F98" s="28">
        <v>54.9</v>
      </c>
      <c r="G98" s="28">
        <v>67</v>
      </c>
      <c r="H98" s="26" t="s">
        <v>190</v>
      </c>
      <c r="I98" s="37">
        <v>54</v>
      </c>
    </row>
    <row r="99" spans="1:9">
      <c r="A99" s="24">
        <v>120</v>
      </c>
      <c r="B99" s="25" t="s">
        <v>202</v>
      </c>
      <c r="C99" s="26">
        <v>64</v>
      </c>
      <c r="D99" s="27" t="s">
        <v>203</v>
      </c>
      <c r="E99" s="27" t="s">
        <v>204</v>
      </c>
      <c r="F99" s="28">
        <v>46.3</v>
      </c>
      <c r="G99" s="28">
        <v>51.1</v>
      </c>
      <c r="H99" s="26" t="s">
        <v>90</v>
      </c>
      <c r="I99" s="37">
        <v>70</v>
      </c>
    </row>
    <row r="100" spans="1:9">
      <c r="A100" s="22"/>
      <c r="B100" s="23" t="s">
        <v>205</v>
      </c>
      <c r="C100" s="15"/>
      <c r="D100" s="12" t="s">
        <v>205</v>
      </c>
      <c r="E100" s="12"/>
      <c r="F100" s="12"/>
      <c r="G100" s="12"/>
      <c r="H100" s="12"/>
      <c r="I100" s="12"/>
    </row>
    <row r="101" ht="24" spans="1:9">
      <c r="A101" s="24">
        <v>35</v>
      </c>
      <c r="B101" s="25" t="s">
        <v>206</v>
      </c>
      <c r="C101" s="26">
        <v>65</v>
      </c>
      <c r="D101" s="27" t="s">
        <v>207</v>
      </c>
      <c r="E101" s="27" t="s">
        <v>208</v>
      </c>
      <c r="F101" s="28">
        <v>56.5</v>
      </c>
      <c r="G101" s="28">
        <v>62.4</v>
      </c>
      <c r="H101" s="26" t="s">
        <v>90</v>
      </c>
      <c r="I101" s="37">
        <v>58</v>
      </c>
    </row>
    <row r="102" spans="1:9">
      <c r="A102" s="24">
        <v>90</v>
      </c>
      <c r="B102" s="25" t="s">
        <v>209</v>
      </c>
      <c r="C102" s="26">
        <v>66</v>
      </c>
      <c r="D102" s="27" t="s">
        <v>209</v>
      </c>
      <c r="E102" s="27" t="s">
        <v>45</v>
      </c>
      <c r="F102" s="28">
        <v>33.9</v>
      </c>
      <c r="G102" s="28">
        <v>37.5</v>
      </c>
      <c r="H102" s="26" t="s">
        <v>63</v>
      </c>
      <c r="I102" s="37">
        <v>96</v>
      </c>
    </row>
    <row r="103" spans="1:9">
      <c r="A103" s="53">
        <v>91</v>
      </c>
      <c r="B103" s="54" t="s">
        <v>210</v>
      </c>
      <c r="C103" s="26">
        <v>90</v>
      </c>
      <c r="D103" s="27" t="s">
        <v>211</v>
      </c>
      <c r="E103" s="27" t="s">
        <v>77</v>
      </c>
      <c r="F103" s="28">
        <v>34.4</v>
      </c>
      <c r="G103" s="28">
        <v>38</v>
      </c>
      <c r="H103" s="26" t="s">
        <v>63</v>
      </c>
      <c r="I103" s="37">
        <v>95</v>
      </c>
    </row>
    <row r="104" spans="1:9">
      <c r="A104" s="53"/>
      <c r="B104" s="54"/>
      <c r="C104" s="26"/>
      <c r="D104" s="27" t="s">
        <v>212</v>
      </c>
      <c r="E104" s="27"/>
      <c r="F104" s="28"/>
      <c r="G104" s="28"/>
      <c r="H104" s="26"/>
      <c r="I104" s="37"/>
    </row>
    <row r="105" spans="1:9">
      <c r="A105" s="53"/>
      <c r="B105" s="54"/>
      <c r="C105" s="26">
        <v>92</v>
      </c>
      <c r="D105" s="27" t="s">
        <v>213</v>
      </c>
      <c r="E105" s="27" t="s">
        <v>45</v>
      </c>
      <c r="F105" s="28">
        <v>6.7</v>
      </c>
      <c r="G105" s="28">
        <v>7.4</v>
      </c>
      <c r="H105" s="26" t="s">
        <v>63</v>
      </c>
      <c r="I105" s="37">
        <v>486</v>
      </c>
    </row>
    <row r="106" ht="24" spans="1:9">
      <c r="A106" s="53"/>
      <c r="B106" s="54"/>
      <c r="C106" s="26">
        <v>93</v>
      </c>
      <c r="D106" s="27" t="s">
        <v>214</v>
      </c>
      <c r="E106" s="27" t="s">
        <v>45</v>
      </c>
      <c r="F106" s="28">
        <v>2.8</v>
      </c>
      <c r="G106" s="28">
        <v>3.1</v>
      </c>
      <c r="H106" s="26" t="s">
        <v>34</v>
      </c>
      <c r="I106" s="37">
        <v>1161</v>
      </c>
    </row>
    <row r="107" ht="24" spans="1:9">
      <c r="A107" s="53"/>
      <c r="B107" s="54"/>
      <c r="C107" s="26">
        <v>94</v>
      </c>
      <c r="D107" s="27" t="s">
        <v>215</v>
      </c>
      <c r="E107" s="27" t="s">
        <v>45</v>
      </c>
      <c r="F107" s="28">
        <v>2.3</v>
      </c>
      <c r="G107" s="28">
        <v>2.6</v>
      </c>
      <c r="H107" s="26" t="s">
        <v>34</v>
      </c>
      <c r="I107" s="37">
        <v>1385</v>
      </c>
    </row>
    <row r="108" spans="1:9">
      <c r="A108" s="39">
        <v>92</v>
      </c>
      <c r="B108" s="40" t="s">
        <v>216</v>
      </c>
      <c r="C108" s="26">
        <v>91</v>
      </c>
      <c r="D108" s="27" t="s">
        <v>216</v>
      </c>
      <c r="E108" s="27" t="s">
        <v>45</v>
      </c>
      <c r="F108" s="28">
        <v>45.5</v>
      </c>
      <c r="G108" s="28">
        <v>50.3</v>
      </c>
      <c r="H108" s="26" t="s">
        <v>63</v>
      </c>
      <c r="I108" s="37">
        <v>72</v>
      </c>
    </row>
    <row r="109" spans="1:9">
      <c r="A109" s="24">
        <v>104</v>
      </c>
      <c r="B109" s="25" t="s">
        <v>217</v>
      </c>
      <c r="C109" s="26">
        <v>87</v>
      </c>
      <c r="D109" s="27" t="s">
        <v>218</v>
      </c>
      <c r="E109" s="27" t="s">
        <v>45</v>
      </c>
      <c r="F109" s="28">
        <v>45.3</v>
      </c>
      <c r="G109" s="28">
        <v>50</v>
      </c>
      <c r="H109" s="26" t="s">
        <v>90</v>
      </c>
      <c r="I109" s="37">
        <v>72</v>
      </c>
    </row>
    <row r="110" spans="1:9">
      <c r="A110" s="24">
        <v>103</v>
      </c>
      <c r="B110" s="25" t="s">
        <v>219</v>
      </c>
      <c r="C110" s="26">
        <v>72</v>
      </c>
      <c r="D110" s="27" t="s">
        <v>220</v>
      </c>
      <c r="E110" s="27" t="s">
        <v>221</v>
      </c>
      <c r="F110" s="28">
        <v>68.3</v>
      </c>
      <c r="G110" s="28">
        <v>76.9</v>
      </c>
      <c r="H110" s="26" t="s">
        <v>170</v>
      </c>
      <c r="I110" s="37">
        <v>47</v>
      </c>
    </row>
    <row r="111" spans="1:9">
      <c r="A111" s="24">
        <v>105</v>
      </c>
      <c r="B111" s="25" t="s">
        <v>222</v>
      </c>
      <c r="C111" s="26">
        <v>75</v>
      </c>
      <c r="D111" s="27" t="s">
        <v>223</v>
      </c>
      <c r="E111" s="27" t="s">
        <v>224</v>
      </c>
      <c r="F111" s="28">
        <v>26.6</v>
      </c>
      <c r="G111" s="28">
        <v>29.4</v>
      </c>
      <c r="H111" s="26" t="s">
        <v>90</v>
      </c>
      <c r="I111" s="37">
        <v>122</v>
      </c>
    </row>
    <row r="112" spans="1:9">
      <c r="A112" s="24"/>
      <c r="B112" s="55" t="s">
        <v>225</v>
      </c>
      <c r="C112" s="26">
        <v>76</v>
      </c>
      <c r="D112" s="27" t="s">
        <v>225</v>
      </c>
      <c r="E112" s="27" t="s">
        <v>45</v>
      </c>
      <c r="F112" s="28">
        <v>5.9</v>
      </c>
      <c r="G112" s="28">
        <v>6.5</v>
      </c>
      <c r="H112" s="26" t="s">
        <v>63</v>
      </c>
      <c r="I112" s="37">
        <v>554</v>
      </c>
    </row>
    <row r="113" spans="1:9">
      <c r="A113" s="24"/>
      <c r="B113" s="55" t="s">
        <v>226</v>
      </c>
      <c r="C113" s="26">
        <v>77</v>
      </c>
      <c r="D113" s="27" t="s">
        <v>226</v>
      </c>
      <c r="E113" s="27" t="s">
        <v>45</v>
      </c>
      <c r="F113" s="28">
        <v>2.9</v>
      </c>
      <c r="G113" s="28">
        <v>3.2</v>
      </c>
      <c r="H113" s="26" t="s">
        <v>63</v>
      </c>
      <c r="I113" s="37">
        <v>1125</v>
      </c>
    </row>
    <row r="114" spans="1:9">
      <c r="A114" s="24">
        <v>140</v>
      </c>
      <c r="B114" s="55" t="s">
        <v>227</v>
      </c>
      <c r="C114" s="26">
        <v>78</v>
      </c>
      <c r="D114" s="27" t="s">
        <v>227</v>
      </c>
      <c r="E114" s="27" t="s">
        <v>45</v>
      </c>
      <c r="F114" s="28">
        <v>2.6</v>
      </c>
      <c r="G114" s="28">
        <v>2.9</v>
      </c>
      <c r="H114" s="26" t="s">
        <v>63</v>
      </c>
      <c r="I114" s="37">
        <v>1241</v>
      </c>
    </row>
    <row r="115" spans="1:9">
      <c r="A115" s="24">
        <v>107</v>
      </c>
      <c r="B115" s="55" t="s">
        <v>228</v>
      </c>
      <c r="C115" s="26">
        <v>79</v>
      </c>
      <c r="D115" s="27" t="s">
        <v>228</v>
      </c>
      <c r="E115" s="27" t="s">
        <v>45</v>
      </c>
      <c r="F115" s="28">
        <v>16</v>
      </c>
      <c r="G115" s="28">
        <v>17.7</v>
      </c>
      <c r="H115" s="26" t="s">
        <v>63</v>
      </c>
      <c r="I115" s="37">
        <v>203</v>
      </c>
    </row>
    <row r="116" spans="1:9">
      <c r="A116" s="24">
        <v>161</v>
      </c>
      <c r="B116" s="55" t="s">
        <v>229</v>
      </c>
      <c r="C116" s="26">
        <v>88</v>
      </c>
      <c r="D116" s="27" t="s">
        <v>229</v>
      </c>
      <c r="E116" s="27" t="s">
        <v>45</v>
      </c>
      <c r="F116" s="28">
        <v>29.3</v>
      </c>
      <c r="G116" s="28">
        <v>32.4</v>
      </c>
      <c r="H116" s="26" t="s">
        <v>63</v>
      </c>
      <c r="I116" s="37">
        <v>111</v>
      </c>
    </row>
    <row r="117" spans="1:9">
      <c r="A117" s="24">
        <v>102</v>
      </c>
      <c r="B117" s="55" t="s">
        <v>230</v>
      </c>
      <c r="C117" s="26">
        <v>80</v>
      </c>
      <c r="D117" s="27" t="s">
        <v>230</v>
      </c>
      <c r="E117" s="27" t="s">
        <v>45</v>
      </c>
      <c r="F117" s="28">
        <v>3.8</v>
      </c>
      <c r="G117" s="28">
        <v>4.2</v>
      </c>
      <c r="H117" s="26" t="s">
        <v>63</v>
      </c>
      <c r="I117" s="37">
        <v>857</v>
      </c>
    </row>
    <row r="118" spans="1:9">
      <c r="A118" s="24">
        <v>172</v>
      </c>
      <c r="B118" s="55" t="s">
        <v>231</v>
      </c>
      <c r="C118" s="26">
        <v>81</v>
      </c>
      <c r="D118" s="27" t="s">
        <v>231</v>
      </c>
      <c r="E118" s="27" t="s">
        <v>45</v>
      </c>
      <c r="F118" s="28">
        <v>3.7</v>
      </c>
      <c r="G118" s="28">
        <v>4.1</v>
      </c>
      <c r="H118" s="26" t="s">
        <v>63</v>
      </c>
      <c r="I118" s="37">
        <v>878</v>
      </c>
    </row>
    <row r="119" spans="1:9">
      <c r="A119" s="24">
        <v>154</v>
      </c>
      <c r="B119" s="55" t="s">
        <v>232</v>
      </c>
      <c r="C119" s="26">
        <v>82</v>
      </c>
      <c r="D119" s="27" t="s">
        <v>233</v>
      </c>
      <c r="E119" s="27" t="s">
        <v>45</v>
      </c>
      <c r="F119" s="28">
        <v>23.4</v>
      </c>
      <c r="G119" s="28">
        <v>25.9</v>
      </c>
      <c r="H119" s="26" t="s">
        <v>63</v>
      </c>
      <c r="I119" s="37">
        <v>139</v>
      </c>
    </row>
    <row r="120" spans="1:9">
      <c r="A120" s="24">
        <v>123</v>
      </c>
      <c r="B120" s="55" t="s">
        <v>234</v>
      </c>
      <c r="C120" s="26">
        <v>83</v>
      </c>
      <c r="D120" s="27" t="s">
        <v>234</v>
      </c>
      <c r="E120" s="27" t="s">
        <v>45</v>
      </c>
      <c r="F120" s="28">
        <v>11.2</v>
      </c>
      <c r="G120" s="28">
        <v>12.3</v>
      </c>
      <c r="H120" s="26" t="s">
        <v>63</v>
      </c>
      <c r="I120" s="37">
        <v>293</v>
      </c>
    </row>
    <row r="121" spans="1:9">
      <c r="A121" s="24">
        <v>152</v>
      </c>
      <c r="B121" s="55" t="s">
        <v>235</v>
      </c>
      <c r="C121" s="26">
        <v>84</v>
      </c>
      <c r="D121" s="27" t="s">
        <v>235</v>
      </c>
      <c r="E121" s="27" t="s">
        <v>45</v>
      </c>
      <c r="F121" s="28">
        <v>1.3</v>
      </c>
      <c r="G121" s="28">
        <v>1.5</v>
      </c>
      <c r="H121" s="26" t="s">
        <v>63</v>
      </c>
      <c r="I121" s="37">
        <v>2400</v>
      </c>
    </row>
    <row r="122" ht="48" spans="1:9">
      <c r="A122" s="24">
        <v>165</v>
      </c>
      <c r="B122" s="25" t="s">
        <v>236</v>
      </c>
      <c r="C122" s="26">
        <v>85</v>
      </c>
      <c r="D122" s="27" t="s">
        <v>237</v>
      </c>
      <c r="E122" s="27" t="s">
        <v>45</v>
      </c>
      <c r="F122" s="28">
        <v>14.3</v>
      </c>
      <c r="G122" s="28">
        <v>15.8</v>
      </c>
      <c r="H122" s="26" t="s">
        <v>63</v>
      </c>
      <c r="I122" s="37">
        <v>228</v>
      </c>
    </row>
    <row r="123" spans="1:9">
      <c r="A123" s="24">
        <v>169</v>
      </c>
      <c r="B123" s="55" t="s">
        <v>238</v>
      </c>
      <c r="C123" s="26">
        <v>86</v>
      </c>
      <c r="D123" s="27" t="s">
        <v>238</v>
      </c>
      <c r="E123" s="27" t="s">
        <v>45</v>
      </c>
      <c r="F123" s="28">
        <v>0.9</v>
      </c>
      <c r="G123" s="28">
        <v>1</v>
      </c>
      <c r="H123" s="26" t="s">
        <v>63</v>
      </c>
      <c r="I123" s="37">
        <v>3600</v>
      </c>
    </row>
    <row r="125" spans="1:1">
      <c r="A125" s="4" t="s">
        <v>239</v>
      </c>
    </row>
  </sheetData>
  <mergeCells count="25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A125:I125"/>
    <mergeCell ref="A126:I126"/>
    <mergeCell ref="A62:A63"/>
    <mergeCell ref="B62:B63"/>
    <mergeCell ref="J69:J71"/>
    <mergeCell ref="G4:I19"/>
  </mergeCells>
  <conditionalFormatting sqref="B25">
    <cfRule type="expression" dxfId="0" priority="3">
      <formula>AND(SUMPRODUCT(IFERROR(1*(($B$25&amp;"x")=(B25&amp;"x")),0))&gt;1,NOT(ISBLANK(B25)))</formula>
    </cfRule>
  </conditionalFormatting>
  <conditionalFormatting sqref="A102">
    <cfRule type="duplicateValues" dxfId="1" priority="1"/>
  </conditionalFormatting>
  <conditionalFormatting sqref="A21:A62 A64:A101 A103:A123">
    <cfRule type="duplicateValues" dxfId="1" priority="6"/>
  </conditionalFormatting>
  <printOptions horizontalCentered="1"/>
  <pageMargins left="0.0791666666666667" right="0.0791666666666667" top="0.396527777777778" bottom="0.396527777777778" header="0.197916666666667" footer="0.197916666666667"/>
  <pageSetup paperSize="9" orientation="portrait"/>
  <headerFooter>
    <oddFooter>&amp;R&amp;D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"/>
  <sheetViews>
    <sheetView workbookViewId="0">
      <selection activeCell="M111" sqref="M111"/>
    </sheetView>
  </sheetViews>
  <sheetFormatPr defaultColWidth="9" defaultRowHeight="13.5"/>
  <cols>
    <col min="12" max="12" width="7.375"/>
    <col min="13" max="13" width="12.75"/>
  </cols>
  <sheetData>
    <row r="1" spans="1:13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248</v>
      </c>
      <c r="M1" t="s">
        <v>251</v>
      </c>
    </row>
    <row r="2" spans="1:13">
      <c r="A2" t="s">
        <v>252</v>
      </c>
      <c r="B2" t="s">
        <v>253</v>
      </c>
      <c r="C2" t="s">
        <v>254</v>
      </c>
      <c r="D2" t="s">
        <v>255</v>
      </c>
      <c r="E2" t="s">
        <v>256</v>
      </c>
      <c r="F2">
        <v>100567086</v>
      </c>
      <c r="G2" t="s">
        <v>257</v>
      </c>
      <c r="H2">
        <v>91</v>
      </c>
      <c r="I2" t="s">
        <v>258</v>
      </c>
      <c r="J2">
        <v>12</v>
      </c>
      <c r="K2" s="2">
        <v>45898</v>
      </c>
      <c r="L2" t="s">
        <v>258</v>
      </c>
      <c r="M2">
        <v>804</v>
      </c>
    </row>
    <row r="3" spans="1:13">
      <c r="A3" t="s">
        <v>252</v>
      </c>
      <c r="B3" t="s">
        <v>253</v>
      </c>
      <c r="C3" t="s">
        <v>254</v>
      </c>
      <c r="D3" t="s">
        <v>255</v>
      </c>
      <c r="E3" t="s">
        <v>256</v>
      </c>
      <c r="F3">
        <v>100567091</v>
      </c>
      <c r="G3" t="s">
        <v>259</v>
      </c>
      <c r="H3">
        <v>91</v>
      </c>
      <c r="I3" t="s">
        <v>258</v>
      </c>
      <c r="J3">
        <v>7</v>
      </c>
      <c r="K3" s="2">
        <v>45898</v>
      </c>
      <c r="L3" t="s">
        <v>260</v>
      </c>
      <c r="M3">
        <v>348</v>
      </c>
    </row>
    <row r="4" spans="1:13">
      <c r="A4" t="s">
        <v>261</v>
      </c>
      <c r="B4" t="s">
        <v>253</v>
      </c>
      <c r="C4" t="s">
        <v>262</v>
      </c>
      <c r="D4" t="s">
        <v>255</v>
      </c>
      <c r="E4" t="s">
        <v>263</v>
      </c>
      <c r="F4">
        <v>100566874</v>
      </c>
      <c r="G4" t="s">
        <v>264</v>
      </c>
      <c r="H4">
        <v>91</v>
      </c>
      <c r="I4" t="s">
        <v>258</v>
      </c>
      <c r="J4">
        <v>5</v>
      </c>
      <c r="K4" s="2">
        <v>45896</v>
      </c>
      <c r="L4" t="s">
        <v>265</v>
      </c>
      <c r="M4">
        <v>1152</v>
      </c>
    </row>
    <row r="5" spans="1:11">
      <c r="A5" t="s">
        <v>252</v>
      </c>
      <c r="B5" t="s">
        <v>253</v>
      </c>
      <c r="C5" t="s">
        <v>262</v>
      </c>
      <c r="D5" t="s">
        <v>255</v>
      </c>
      <c r="E5" t="s">
        <v>256</v>
      </c>
      <c r="F5">
        <v>100567011</v>
      </c>
      <c r="G5" t="s">
        <v>266</v>
      </c>
      <c r="H5">
        <v>91</v>
      </c>
      <c r="I5" t="s">
        <v>258</v>
      </c>
      <c r="J5">
        <v>8</v>
      </c>
      <c r="K5" s="2">
        <v>45898</v>
      </c>
    </row>
    <row r="6" spans="1:11">
      <c r="A6" t="s">
        <v>261</v>
      </c>
      <c r="B6" t="s">
        <v>253</v>
      </c>
      <c r="C6" t="s">
        <v>267</v>
      </c>
      <c r="D6" t="s">
        <v>255</v>
      </c>
      <c r="E6" t="s">
        <v>268</v>
      </c>
      <c r="F6">
        <v>100566874</v>
      </c>
      <c r="G6" t="s">
        <v>264</v>
      </c>
      <c r="H6">
        <v>91</v>
      </c>
      <c r="I6" t="s">
        <v>258</v>
      </c>
      <c r="J6">
        <v>13</v>
      </c>
      <c r="K6" s="2">
        <v>45896</v>
      </c>
    </row>
    <row r="7" spans="1:11">
      <c r="A7" t="s">
        <v>269</v>
      </c>
      <c r="B7" t="s">
        <v>253</v>
      </c>
      <c r="C7" t="s">
        <v>262</v>
      </c>
      <c r="D7" t="s">
        <v>255</v>
      </c>
      <c r="E7" t="s">
        <v>270</v>
      </c>
      <c r="F7">
        <v>100564052</v>
      </c>
      <c r="G7" t="s">
        <v>271</v>
      </c>
      <c r="H7">
        <v>91</v>
      </c>
      <c r="I7" t="s">
        <v>258</v>
      </c>
      <c r="J7">
        <v>9</v>
      </c>
      <c r="K7" s="2">
        <v>45898</v>
      </c>
    </row>
    <row r="8" spans="1:11">
      <c r="A8" t="s">
        <v>261</v>
      </c>
      <c r="B8" t="s">
        <v>253</v>
      </c>
      <c r="C8" t="s">
        <v>272</v>
      </c>
      <c r="D8" t="s">
        <v>255</v>
      </c>
      <c r="E8" t="s">
        <v>256</v>
      </c>
      <c r="F8">
        <v>100566398</v>
      </c>
      <c r="G8" t="s">
        <v>273</v>
      </c>
      <c r="H8">
        <v>91</v>
      </c>
      <c r="I8" t="s">
        <v>258</v>
      </c>
      <c r="J8">
        <v>14</v>
      </c>
      <c r="K8" s="2">
        <v>45896</v>
      </c>
    </row>
    <row r="9" spans="1:11">
      <c r="A9" t="s">
        <v>261</v>
      </c>
      <c r="B9" t="s">
        <v>253</v>
      </c>
      <c r="C9" t="s">
        <v>274</v>
      </c>
      <c r="D9" t="s">
        <v>255</v>
      </c>
      <c r="E9" t="s">
        <v>268</v>
      </c>
      <c r="F9">
        <v>100566874</v>
      </c>
      <c r="G9" t="s">
        <v>264</v>
      </c>
      <c r="H9">
        <v>91</v>
      </c>
      <c r="I9" t="s">
        <v>258</v>
      </c>
      <c r="J9">
        <v>12</v>
      </c>
      <c r="K9" s="2">
        <v>45896</v>
      </c>
    </row>
    <row r="10" spans="1:11">
      <c r="A10" t="s">
        <v>275</v>
      </c>
      <c r="B10" t="s">
        <v>253</v>
      </c>
      <c r="C10" t="s">
        <v>254</v>
      </c>
      <c r="D10" t="s">
        <v>255</v>
      </c>
      <c r="E10" t="s">
        <v>268</v>
      </c>
      <c r="F10">
        <v>100567060</v>
      </c>
      <c r="G10" t="s">
        <v>276</v>
      </c>
      <c r="H10">
        <v>91</v>
      </c>
      <c r="I10" t="s">
        <v>258</v>
      </c>
      <c r="J10">
        <v>12</v>
      </c>
      <c r="K10" s="2">
        <v>45896</v>
      </c>
    </row>
    <row r="11" spans="1:11">
      <c r="A11" t="s">
        <v>275</v>
      </c>
      <c r="B11" t="s">
        <v>253</v>
      </c>
      <c r="C11" t="s">
        <v>277</v>
      </c>
      <c r="D11" t="s">
        <v>255</v>
      </c>
      <c r="E11" t="s">
        <v>268</v>
      </c>
      <c r="F11">
        <v>100567060</v>
      </c>
      <c r="G11" t="s">
        <v>276</v>
      </c>
      <c r="H11">
        <v>91</v>
      </c>
      <c r="I11" t="s">
        <v>258</v>
      </c>
      <c r="J11">
        <v>14</v>
      </c>
      <c r="K11" s="2">
        <v>45898</v>
      </c>
    </row>
    <row r="12" spans="1:11">
      <c r="A12" t="s">
        <v>278</v>
      </c>
      <c r="B12" t="s">
        <v>253</v>
      </c>
      <c r="C12" t="s">
        <v>279</v>
      </c>
      <c r="D12" t="s">
        <v>255</v>
      </c>
      <c r="E12" t="s">
        <v>268</v>
      </c>
      <c r="F12">
        <v>100565622</v>
      </c>
      <c r="G12" t="s">
        <v>280</v>
      </c>
      <c r="H12">
        <v>91</v>
      </c>
      <c r="I12" t="s">
        <v>258</v>
      </c>
      <c r="J12">
        <v>14</v>
      </c>
      <c r="K12" s="2">
        <v>45896</v>
      </c>
    </row>
    <row r="13" spans="1:11">
      <c r="A13" t="s">
        <v>252</v>
      </c>
      <c r="B13" t="s">
        <v>253</v>
      </c>
      <c r="C13" t="s">
        <v>281</v>
      </c>
      <c r="D13" t="s">
        <v>255</v>
      </c>
      <c r="E13" t="s">
        <v>256</v>
      </c>
      <c r="F13">
        <v>100567011</v>
      </c>
      <c r="G13" t="s">
        <v>266</v>
      </c>
      <c r="H13">
        <v>91</v>
      </c>
      <c r="I13" t="s">
        <v>258</v>
      </c>
      <c r="J13">
        <v>7</v>
      </c>
      <c r="K13" s="2">
        <v>45898</v>
      </c>
    </row>
    <row r="14" spans="1:11">
      <c r="A14" t="s">
        <v>278</v>
      </c>
      <c r="B14" t="s">
        <v>253</v>
      </c>
      <c r="C14" t="s">
        <v>262</v>
      </c>
      <c r="D14" t="s">
        <v>255</v>
      </c>
      <c r="E14" t="s">
        <v>263</v>
      </c>
      <c r="F14">
        <v>100565622</v>
      </c>
      <c r="G14" t="s">
        <v>280</v>
      </c>
      <c r="H14">
        <v>91</v>
      </c>
      <c r="I14" t="s">
        <v>258</v>
      </c>
      <c r="J14">
        <v>17</v>
      </c>
      <c r="K14" s="2">
        <v>45896</v>
      </c>
    </row>
    <row r="15" spans="1:11">
      <c r="A15" t="s">
        <v>275</v>
      </c>
      <c r="B15" t="s">
        <v>253</v>
      </c>
      <c r="C15" t="s">
        <v>267</v>
      </c>
      <c r="D15" t="s">
        <v>255</v>
      </c>
      <c r="E15" t="s">
        <v>268</v>
      </c>
      <c r="F15">
        <v>100567060</v>
      </c>
      <c r="G15" t="s">
        <v>276</v>
      </c>
      <c r="H15">
        <v>91</v>
      </c>
      <c r="I15" t="s">
        <v>258</v>
      </c>
      <c r="J15">
        <v>23</v>
      </c>
      <c r="K15" s="2">
        <v>45896</v>
      </c>
    </row>
    <row r="16" spans="1:11">
      <c r="A16" t="s">
        <v>269</v>
      </c>
      <c r="B16" t="s">
        <v>253</v>
      </c>
      <c r="C16" t="s">
        <v>282</v>
      </c>
      <c r="D16" t="s">
        <v>255</v>
      </c>
      <c r="E16" t="s">
        <v>256</v>
      </c>
      <c r="F16">
        <v>100564060</v>
      </c>
      <c r="G16" t="s">
        <v>283</v>
      </c>
      <c r="H16">
        <v>91</v>
      </c>
      <c r="I16" t="s">
        <v>258</v>
      </c>
      <c r="J16">
        <v>14</v>
      </c>
      <c r="K16" s="2">
        <v>45898</v>
      </c>
    </row>
    <row r="17" spans="1:11">
      <c r="A17" t="s">
        <v>261</v>
      </c>
      <c r="B17" t="s">
        <v>253</v>
      </c>
      <c r="C17" t="s">
        <v>282</v>
      </c>
      <c r="D17" t="s">
        <v>255</v>
      </c>
      <c r="E17" t="s">
        <v>268</v>
      </c>
      <c r="F17">
        <v>100566398</v>
      </c>
      <c r="G17" t="s">
        <v>273</v>
      </c>
      <c r="H17">
        <v>91</v>
      </c>
      <c r="I17" t="s">
        <v>258</v>
      </c>
      <c r="J17">
        <v>7</v>
      </c>
      <c r="K17" s="2">
        <v>45896</v>
      </c>
    </row>
    <row r="18" spans="1:11">
      <c r="A18" t="s">
        <v>261</v>
      </c>
      <c r="B18" t="s">
        <v>253</v>
      </c>
      <c r="C18" t="s">
        <v>284</v>
      </c>
      <c r="D18" t="s">
        <v>255</v>
      </c>
      <c r="E18" t="s">
        <v>263</v>
      </c>
      <c r="F18">
        <v>100566553</v>
      </c>
      <c r="G18" t="s">
        <v>285</v>
      </c>
      <c r="H18">
        <v>91</v>
      </c>
      <c r="I18" t="s">
        <v>258</v>
      </c>
      <c r="J18">
        <v>3</v>
      </c>
      <c r="K18" s="2">
        <v>45896</v>
      </c>
    </row>
    <row r="19" spans="1:11">
      <c r="A19" t="s">
        <v>269</v>
      </c>
      <c r="B19" t="s">
        <v>253</v>
      </c>
      <c r="C19" t="s">
        <v>274</v>
      </c>
      <c r="D19" t="s">
        <v>255</v>
      </c>
      <c r="E19" t="s">
        <v>256</v>
      </c>
      <c r="F19">
        <v>100566400</v>
      </c>
      <c r="G19" t="s">
        <v>286</v>
      </c>
      <c r="H19">
        <v>91</v>
      </c>
      <c r="I19" t="s">
        <v>258</v>
      </c>
      <c r="J19">
        <v>13</v>
      </c>
      <c r="K19" s="2">
        <v>45898</v>
      </c>
    </row>
    <row r="20" spans="1:11">
      <c r="A20" t="s">
        <v>287</v>
      </c>
      <c r="B20" t="s">
        <v>253</v>
      </c>
      <c r="C20" t="s">
        <v>254</v>
      </c>
      <c r="D20" t="s">
        <v>255</v>
      </c>
      <c r="E20" t="s">
        <v>268</v>
      </c>
      <c r="F20">
        <v>100566851</v>
      </c>
      <c r="G20" t="s">
        <v>288</v>
      </c>
      <c r="H20">
        <v>91</v>
      </c>
      <c r="I20" t="s">
        <v>258</v>
      </c>
      <c r="J20">
        <v>11</v>
      </c>
      <c r="K20" s="2">
        <v>45898</v>
      </c>
    </row>
    <row r="21" spans="1:11">
      <c r="A21" t="s">
        <v>261</v>
      </c>
      <c r="B21" t="s">
        <v>253</v>
      </c>
      <c r="C21" t="s">
        <v>284</v>
      </c>
      <c r="D21" t="s">
        <v>255</v>
      </c>
      <c r="E21" t="s">
        <v>263</v>
      </c>
      <c r="F21">
        <v>100565750</v>
      </c>
      <c r="G21" t="s">
        <v>289</v>
      </c>
      <c r="H21">
        <v>91</v>
      </c>
      <c r="I21" t="s">
        <v>258</v>
      </c>
      <c r="J21">
        <v>5</v>
      </c>
      <c r="K21" s="2">
        <v>45898</v>
      </c>
    </row>
    <row r="22" spans="1:11">
      <c r="A22" t="s">
        <v>252</v>
      </c>
      <c r="B22" t="s">
        <v>253</v>
      </c>
      <c r="C22" t="s">
        <v>254</v>
      </c>
      <c r="D22" t="s">
        <v>255</v>
      </c>
      <c r="E22" t="s">
        <v>263</v>
      </c>
      <c r="F22">
        <v>100567091</v>
      </c>
      <c r="G22" t="s">
        <v>259</v>
      </c>
      <c r="H22">
        <v>91</v>
      </c>
      <c r="I22" t="s">
        <v>258</v>
      </c>
      <c r="J22">
        <v>9</v>
      </c>
      <c r="K22" s="2">
        <v>45898</v>
      </c>
    </row>
    <row r="23" spans="1:11">
      <c r="A23" t="s">
        <v>278</v>
      </c>
      <c r="B23" t="s">
        <v>253</v>
      </c>
      <c r="C23" t="s">
        <v>254</v>
      </c>
      <c r="D23" t="s">
        <v>255</v>
      </c>
      <c r="E23" t="s">
        <v>256</v>
      </c>
      <c r="F23">
        <v>100566938</v>
      </c>
      <c r="G23" t="s">
        <v>290</v>
      </c>
      <c r="H23">
        <v>91</v>
      </c>
      <c r="I23" t="s">
        <v>258</v>
      </c>
      <c r="J23">
        <v>11</v>
      </c>
      <c r="K23" s="2">
        <v>45898</v>
      </c>
    </row>
    <row r="24" spans="1:11">
      <c r="A24" t="s">
        <v>278</v>
      </c>
      <c r="B24" t="s">
        <v>253</v>
      </c>
      <c r="C24" t="s">
        <v>284</v>
      </c>
      <c r="D24" t="s">
        <v>255</v>
      </c>
      <c r="E24" t="s">
        <v>263</v>
      </c>
      <c r="F24">
        <v>100565622</v>
      </c>
      <c r="G24" t="s">
        <v>280</v>
      </c>
      <c r="H24">
        <v>91</v>
      </c>
      <c r="I24" t="s">
        <v>258</v>
      </c>
      <c r="J24">
        <v>11</v>
      </c>
      <c r="K24" s="2">
        <v>45898</v>
      </c>
    </row>
    <row r="25" spans="1:11">
      <c r="A25" t="s">
        <v>269</v>
      </c>
      <c r="B25" t="s">
        <v>253</v>
      </c>
      <c r="C25" t="s">
        <v>282</v>
      </c>
      <c r="D25" t="s">
        <v>255</v>
      </c>
      <c r="E25" t="s">
        <v>256</v>
      </c>
      <c r="F25">
        <v>100566793</v>
      </c>
      <c r="G25" t="s">
        <v>291</v>
      </c>
      <c r="H25">
        <v>91</v>
      </c>
      <c r="I25" t="s">
        <v>258</v>
      </c>
      <c r="J25">
        <v>10</v>
      </c>
      <c r="K25" s="2">
        <v>45898</v>
      </c>
    </row>
    <row r="26" spans="1:11">
      <c r="A26" t="s">
        <v>278</v>
      </c>
      <c r="B26" t="s">
        <v>253</v>
      </c>
      <c r="C26" t="s">
        <v>282</v>
      </c>
      <c r="D26" t="s">
        <v>255</v>
      </c>
      <c r="E26" t="s">
        <v>268</v>
      </c>
      <c r="F26">
        <v>100565622</v>
      </c>
      <c r="G26" t="s">
        <v>280</v>
      </c>
      <c r="H26">
        <v>91</v>
      </c>
      <c r="I26" t="s">
        <v>258</v>
      </c>
      <c r="J26">
        <v>13</v>
      </c>
      <c r="K26" s="2">
        <v>45898</v>
      </c>
    </row>
    <row r="27" spans="1:11">
      <c r="A27" t="s">
        <v>252</v>
      </c>
      <c r="B27" t="s">
        <v>253</v>
      </c>
      <c r="C27" t="s">
        <v>292</v>
      </c>
      <c r="D27" t="s">
        <v>255</v>
      </c>
      <c r="E27" t="s">
        <v>263</v>
      </c>
      <c r="F27">
        <v>100566557</v>
      </c>
      <c r="G27" t="s">
        <v>293</v>
      </c>
      <c r="H27">
        <v>91</v>
      </c>
      <c r="I27" t="s">
        <v>258</v>
      </c>
      <c r="J27">
        <v>18</v>
      </c>
      <c r="K27" s="2">
        <v>45898</v>
      </c>
    </row>
    <row r="28" spans="1:11">
      <c r="A28" t="s">
        <v>252</v>
      </c>
      <c r="B28" t="s">
        <v>253</v>
      </c>
      <c r="C28" t="s">
        <v>294</v>
      </c>
      <c r="D28" t="s">
        <v>255</v>
      </c>
      <c r="E28" t="s">
        <v>256</v>
      </c>
      <c r="F28">
        <v>100566850</v>
      </c>
      <c r="G28" t="s">
        <v>295</v>
      </c>
      <c r="H28">
        <v>91</v>
      </c>
      <c r="I28" t="s">
        <v>258</v>
      </c>
      <c r="J28">
        <v>6</v>
      </c>
      <c r="K28" s="2">
        <v>45898</v>
      </c>
    </row>
    <row r="29" spans="1:11">
      <c r="A29" t="s">
        <v>269</v>
      </c>
      <c r="B29" t="s">
        <v>253</v>
      </c>
      <c r="C29" t="s">
        <v>274</v>
      </c>
      <c r="D29" t="s">
        <v>255</v>
      </c>
      <c r="E29" t="s">
        <v>256</v>
      </c>
      <c r="F29">
        <v>100564060</v>
      </c>
      <c r="G29" t="s">
        <v>283</v>
      </c>
      <c r="H29">
        <v>91</v>
      </c>
      <c r="I29" t="s">
        <v>258</v>
      </c>
      <c r="J29">
        <v>12</v>
      </c>
      <c r="K29" s="2">
        <v>45898</v>
      </c>
    </row>
    <row r="30" spans="1:11">
      <c r="A30" t="s">
        <v>269</v>
      </c>
      <c r="B30" t="s">
        <v>253</v>
      </c>
      <c r="C30" t="s">
        <v>267</v>
      </c>
      <c r="D30" t="s">
        <v>255</v>
      </c>
      <c r="E30" t="s">
        <v>256</v>
      </c>
      <c r="F30">
        <v>100566428</v>
      </c>
      <c r="G30" t="s">
        <v>296</v>
      </c>
      <c r="H30">
        <v>91</v>
      </c>
      <c r="I30" t="s">
        <v>258</v>
      </c>
      <c r="J30">
        <v>5</v>
      </c>
      <c r="K30" s="2">
        <v>45898</v>
      </c>
    </row>
    <row r="31" spans="1:11">
      <c r="A31" t="s">
        <v>261</v>
      </c>
      <c r="B31" t="s">
        <v>253</v>
      </c>
      <c r="C31" t="s">
        <v>284</v>
      </c>
      <c r="D31" t="s">
        <v>255</v>
      </c>
      <c r="E31" t="s">
        <v>268</v>
      </c>
      <c r="F31">
        <v>100566553</v>
      </c>
      <c r="G31" t="s">
        <v>285</v>
      </c>
      <c r="H31">
        <v>91</v>
      </c>
      <c r="I31" t="s">
        <v>258</v>
      </c>
      <c r="J31">
        <v>6</v>
      </c>
      <c r="K31" s="2">
        <v>45896</v>
      </c>
    </row>
    <row r="32" spans="1:11">
      <c r="A32" t="s">
        <v>261</v>
      </c>
      <c r="B32" t="s">
        <v>253</v>
      </c>
      <c r="C32" t="s">
        <v>294</v>
      </c>
      <c r="D32" t="s">
        <v>255</v>
      </c>
      <c r="E32" t="s">
        <v>263</v>
      </c>
      <c r="F32">
        <v>100566553</v>
      </c>
      <c r="G32" t="s">
        <v>285</v>
      </c>
      <c r="H32">
        <v>91</v>
      </c>
      <c r="I32" t="s">
        <v>258</v>
      </c>
      <c r="J32">
        <v>6</v>
      </c>
      <c r="K32" s="2">
        <v>45896</v>
      </c>
    </row>
    <row r="33" spans="1:11">
      <c r="A33" t="s">
        <v>278</v>
      </c>
      <c r="B33" t="s">
        <v>253</v>
      </c>
      <c r="C33" t="s">
        <v>292</v>
      </c>
      <c r="D33" t="s">
        <v>255</v>
      </c>
      <c r="E33" t="s">
        <v>263</v>
      </c>
      <c r="F33">
        <v>100565622</v>
      </c>
      <c r="G33" t="s">
        <v>280</v>
      </c>
      <c r="H33">
        <v>91</v>
      </c>
      <c r="I33" t="s">
        <v>258</v>
      </c>
      <c r="J33">
        <v>15</v>
      </c>
      <c r="K33" s="2">
        <v>45896</v>
      </c>
    </row>
    <row r="34" spans="1:11">
      <c r="A34" t="s">
        <v>261</v>
      </c>
      <c r="B34" t="s">
        <v>253</v>
      </c>
      <c r="C34" t="s">
        <v>254</v>
      </c>
      <c r="D34" t="s">
        <v>255</v>
      </c>
      <c r="E34" t="s">
        <v>263</v>
      </c>
      <c r="F34">
        <v>100565750</v>
      </c>
      <c r="G34" t="s">
        <v>289</v>
      </c>
      <c r="H34">
        <v>91</v>
      </c>
      <c r="I34" t="s">
        <v>258</v>
      </c>
      <c r="J34">
        <v>7</v>
      </c>
      <c r="K34" s="2">
        <v>45896</v>
      </c>
    </row>
    <row r="35" spans="1:11">
      <c r="A35" t="s">
        <v>252</v>
      </c>
      <c r="B35" t="s">
        <v>253</v>
      </c>
      <c r="C35" t="s">
        <v>272</v>
      </c>
      <c r="D35" t="s">
        <v>255</v>
      </c>
      <c r="E35" t="s">
        <v>268</v>
      </c>
      <c r="F35">
        <v>100566591</v>
      </c>
      <c r="G35" t="s">
        <v>297</v>
      </c>
      <c r="H35">
        <v>91</v>
      </c>
      <c r="I35" t="s">
        <v>258</v>
      </c>
      <c r="J35">
        <v>13</v>
      </c>
      <c r="K35" s="2">
        <v>45898</v>
      </c>
    </row>
    <row r="36" spans="1:11">
      <c r="A36" t="s">
        <v>252</v>
      </c>
      <c r="B36" t="s">
        <v>253</v>
      </c>
      <c r="C36" t="s">
        <v>267</v>
      </c>
      <c r="D36" t="s">
        <v>255</v>
      </c>
      <c r="E36" t="s">
        <v>256</v>
      </c>
      <c r="F36">
        <v>100566593</v>
      </c>
      <c r="G36" t="s">
        <v>298</v>
      </c>
      <c r="H36">
        <v>91</v>
      </c>
      <c r="I36" t="s">
        <v>258</v>
      </c>
      <c r="J36">
        <v>9</v>
      </c>
      <c r="K36" s="2">
        <v>45898</v>
      </c>
    </row>
    <row r="37" spans="1:11">
      <c r="A37" t="s">
        <v>261</v>
      </c>
      <c r="B37" t="s">
        <v>253</v>
      </c>
      <c r="C37" t="s">
        <v>262</v>
      </c>
      <c r="D37" t="s">
        <v>255</v>
      </c>
      <c r="E37" t="s">
        <v>256</v>
      </c>
      <c r="F37">
        <v>100565742</v>
      </c>
      <c r="G37" t="s">
        <v>299</v>
      </c>
      <c r="H37">
        <v>91</v>
      </c>
      <c r="I37" t="s">
        <v>258</v>
      </c>
      <c r="J37">
        <v>9</v>
      </c>
      <c r="K37" s="2">
        <v>45896</v>
      </c>
    </row>
    <row r="38" spans="1:11">
      <c r="A38" t="s">
        <v>252</v>
      </c>
      <c r="B38" t="s">
        <v>253</v>
      </c>
      <c r="C38" t="s">
        <v>282</v>
      </c>
      <c r="D38" t="s">
        <v>255</v>
      </c>
      <c r="E38" t="s">
        <v>268</v>
      </c>
      <c r="F38">
        <v>100566713</v>
      </c>
      <c r="G38" t="s">
        <v>300</v>
      </c>
      <c r="H38">
        <v>91</v>
      </c>
      <c r="I38" t="s">
        <v>258</v>
      </c>
      <c r="J38">
        <v>13</v>
      </c>
      <c r="K38" s="2">
        <v>45898</v>
      </c>
    </row>
    <row r="39" spans="1:11">
      <c r="A39" t="s">
        <v>278</v>
      </c>
      <c r="B39" t="s">
        <v>253</v>
      </c>
      <c r="C39" t="s">
        <v>262</v>
      </c>
      <c r="D39" t="s">
        <v>255</v>
      </c>
      <c r="E39" t="s">
        <v>268</v>
      </c>
      <c r="F39">
        <v>100566938</v>
      </c>
      <c r="G39" t="s">
        <v>290</v>
      </c>
      <c r="H39">
        <v>91</v>
      </c>
      <c r="I39" t="s">
        <v>258</v>
      </c>
      <c r="J39">
        <v>8</v>
      </c>
      <c r="K39" s="2">
        <v>45896</v>
      </c>
    </row>
    <row r="40" spans="1:11">
      <c r="A40" t="s">
        <v>261</v>
      </c>
      <c r="B40" t="s">
        <v>253</v>
      </c>
      <c r="C40" t="s">
        <v>267</v>
      </c>
      <c r="D40" t="s">
        <v>255</v>
      </c>
      <c r="E40" t="s">
        <v>268</v>
      </c>
      <c r="F40">
        <v>100566946</v>
      </c>
      <c r="G40" t="s">
        <v>301</v>
      </c>
      <c r="H40">
        <v>91</v>
      </c>
      <c r="I40" t="s">
        <v>258</v>
      </c>
      <c r="J40">
        <v>14</v>
      </c>
      <c r="K40" s="2">
        <v>45896</v>
      </c>
    </row>
    <row r="41" spans="1:11">
      <c r="A41" t="s">
        <v>278</v>
      </c>
      <c r="B41" t="s">
        <v>253</v>
      </c>
      <c r="C41" t="s">
        <v>274</v>
      </c>
      <c r="D41" t="s">
        <v>255</v>
      </c>
      <c r="E41" t="s">
        <v>268</v>
      </c>
      <c r="F41">
        <v>100565622</v>
      </c>
      <c r="G41" t="s">
        <v>280</v>
      </c>
      <c r="H41">
        <v>91</v>
      </c>
      <c r="I41" t="s">
        <v>258</v>
      </c>
      <c r="J41">
        <v>12</v>
      </c>
      <c r="K41" s="2">
        <v>45896</v>
      </c>
    </row>
    <row r="42" spans="1:11">
      <c r="A42" t="s">
        <v>278</v>
      </c>
      <c r="B42" t="s">
        <v>253</v>
      </c>
      <c r="C42" t="s">
        <v>292</v>
      </c>
      <c r="D42" t="s">
        <v>255</v>
      </c>
      <c r="E42" t="s">
        <v>263</v>
      </c>
      <c r="F42">
        <v>100566938</v>
      </c>
      <c r="G42" t="s">
        <v>290</v>
      </c>
      <c r="H42">
        <v>91</v>
      </c>
      <c r="I42" t="s">
        <v>258</v>
      </c>
      <c r="J42">
        <v>16</v>
      </c>
      <c r="K42" s="2">
        <v>45898</v>
      </c>
    </row>
    <row r="43" spans="1:11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>
        <v>100566389</v>
      </c>
      <c r="G43" t="s">
        <v>302</v>
      </c>
      <c r="H43">
        <v>91</v>
      </c>
      <c r="I43" t="s">
        <v>258</v>
      </c>
      <c r="J43">
        <v>9</v>
      </c>
      <c r="K43" s="2">
        <v>45898</v>
      </c>
    </row>
    <row r="44" spans="1:11">
      <c r="A44" t="s">
        <v>287</v>
      </c>
      <c r="B44" t="s">
        <v>253</v>
      </c>
      <c r="C44" t="s">
        <v>281</v>
      </c>
      <c r="D44" t="s">
        <v>255</v>
      </c>
      <c r="E44" t="s">
        <v>268</v>
      </c>
      <c r="F44">
        <v>100567004</v>
      </c>
      <c r="G44" t="s">
        <v>303</v>
      </c>
      <c r="H44">
        <v>91</v>
      </c>
      <c r="I44" t="s">
        <v>258</v>
      </c>
      <c r="J44">
        <v>12</v>
      </c>
      <c r="K44" s="2">
        <v>45896</v>
      </c>
    </row>
    <row r="45" spans="1:11">
      <c r="A45" t="s">
        <v>261</v>
      </c>
      <c r="B45" t="s">
        <v>253</v>
      </c>
      <c r="C45" t="s">
        <v>294</v>
      </c>
      <c r="D45" t="s">
        <v>255</v>
      </c>
      <c r="E45" t="s">
        <v>256</v>
      </c>
      <c r="F45">
        <v>100566946</v>
      </c>
      <c r="G45" t="s">
        <v>301</v>
      </c>
      <c r="H45">
        <v>91</v>
      </c>
      <c r="I45" t="s">
        <v>258</v>
      </c>
      <c r="J45">
        <v>12</v>
      </c>
      <c r="K45" s="2">
        <v>45896</v>
      </c>
    </row>
    <row r="46" spans="1:11">
      <c r="A46" t="s">
        <v>261</v>
      </c>
      <c r="B46" t="s">
        <v>253</v>
      </c>
      <c r="C46" t="s">
        <v>279</v>
      </c>
      <c r="D46" t="s">
        <v>255</v>
      </c>
      <c r="E46" t="s">
        <v>268</v>
      </c>
      <c r="F46">
        <v>100566398</v>
      </c>
      <c r="G46" t="s">
        <v>273</v>
      </c>
      <c r="H46">
        <v>91</v>
      </c>
      <c r="I46" t="s">
        <v>258</v>
      </c>
      <c r="J46">
        <v>11</v>
      </c>
      <c r="K46" s="2">
        <v>45896</v>
      </c>
    </row>
    <row r="47" spans="1:11">
      <c r="A47" t="s">
        <v>261</v>
      </c>
      <c r="B47" t="s">
        <v>253</v>
      </c>
      <c r="C47" t="s">
        <v>277</v>
      </c>
      <c r="D47" t="s">
        <v>255</v>
      </c>
      <c r="E47" t="s">
        <v>256</v>
      </c>
      <c r="F47">
        <v>100566553</v>
      </c>
      <c r="G47" t="s">
        <v>285</v>
      </c>
      <c r="H47">
        <v>91</v>
      </c>
      <c r="I47" t="s">
        <v>258</v>
      </c>
      <c r="J47">
        <v>10</v>
      </c>
      <c r="K47" s="2">
        <v>45898</v>
      </c>
    </row>
    <row r="48" spans="1:11">
      <c r="A48" t="s">
        <v>252</v>
      </c>
      <c r="B48" t="s">
        <v>253</v>
      </c>
      <c r="C48" t="s">
        <v>304</v>
      </c>
      <c r="D48" t="s">
        <v>255</v>
      </c>
      <c r="E48" t="s">
        <v>268</v>
      </c>
      <c r="F48">
        <v>100566799</v>
      </c>
      <c r="G48" t="s">
        <v>305</v>
      </c>
      <c r="H48">
        <v>91</v>
      </c>
      <c r="I48" t="s">
        <v>258</v>
      </c>
      <c r="J48">
        <v>22</v>
      </c>
      <c r="K48" s="2">
        <v>45898</v>
      </c>
    </row>
    <row r="49" spans="1:11">
      <c r="A49" t="s">
        <v>278</v>
      </c>
      <c r="B49" t="s">
        <v>253</v>
      </c>
      <c r="C49" t="s">
        <v>274</v>
      </c>
      <c r="D49" t="s">
        <v>255</v>
      </c>
      <c r="E49" t="s">
        <v>256</v>
      </c>
      <c r="F49">
        <v>100565622</v>
      </c>
      <c r="G49" t="s">
        <v>280</v>
      </c>
      <c r="H49">
        <v>91</v>
      </c>
      <c r="I49" t="s">
        <v>258</v>
      </c>
      <c r="J49">
        <v>14</v>
      </c>
      <c r="K49" s="2">
        <v>45896</v>
      </c>
    </row>
    <row r="50" spans="1:11">
      <c r="A50" t="s">
        <v>269</v>
      </c>
      <c r="B50" t="s">
        <v>253</v>
      </c>
      <c r="C50" t="s">
        <v>284</v>
      </c>
      <c r="D50" t="s">
        <v>255</v>
      </c>
      <c r="E50" t="s">
        <v>256</v>
      </c>
      <c r="F50">
        <v>100564060</v>
      </c>
      <c r="G50" t="s">
        <v>283</v>
      </c>
      <c r="H50">
        <v>91</v>
      </c>
      <c r="I50" t="s">
        <v>258</v>
      </c>
      <c r="J50">
        <v>11</v>
      </c>
      <c r="K50" s="2">
        <v>45898</v>
      </c>
    </row>
    <row r="51" spans="1:11">
      <c r="A51" t="s">
        <v>269</v>
      </c>
      <c r="B51" t="s">
        <v>253</v>
      </c>
      <c r="C51" t="s">
        <v>284</v>
      </c>
      <c r="D51" t="s">
        <v>255</v>
      </c>
      <c r="E51" t="s">
        <v>263</v>
      </c>
      <c r="F51">
        <v>100565685</v>
      </c>
      <c r="G51" t="s">
        <v>306</v>
      </c>
      <c r="H51">
        <v>91</v>
      </c>
      <c r="I51" t="s">
        <v>258</v>
      </c>
      <c r="J51">
        <v>12</v>
      </c>
      <c r="K51" s="2">
        <v>45898</v>
      </c>
    </row>
    <row r="52" spans="1:11">
      <c r="A52" t="s">
        <v>261</v>
      </c>
      <c r="B52" t="s">
        <v>253</v>
      </c>
      <c r="C52" t="s">
        <v>282</v>
      </c>
      <c r="D52" t="s">
        <v>255</v>
      </c>
      <c r="E52" t="s">
        <v>256</v>
      </c>
      <c r="F52">
        <v>100566946</v>
      </c>
      <c r="G52" t="s">
        <v>301</v>
      </c>
      <c r="H52">
        <v>91</v>
      </c>
      <c r="I52" t="s">
        <v>258</v>
      </c>
      <c r="J52">
        <v>13</v>
      </c>
      <c r="K52" s="2">
        <v>45896</v>
      </c>
    </row>
    <row r="53" spans="1:11">
      <c r="A53" t="s">
        <v>252</v>
      </c>
      <c r="B53" t="s">
        <v>253</v>
      </c>
      <c r="C53" t="s">
        <v>262</v>
      </c>
      <c r="D53" t="s">
        <v>255</v>
      </c>
      <c r="E53" t="s">
        <v>268</v>
      </c>
      <c r="F53">
        <v>100565797</v>
      </c>
      <c r="G53" t="s">
        <v>307</v>
      </c>
      <c r="H53">
        <v>91</v>
      </c>
      <c r="I53" t="s">
        <v>258</v>
      </c>
      <c r="J53">
        <v>8</v>
      </c>
      <c r="K53" s="2">
        <v>45898</v>
      </c>
    </row>
    <row r="54" spans="1:11">
      <c r="A54" t="s">
        <v>269</v>
      </c>
      <c r="B54" t="s">
        <v>253</v>
      </c>
      <c r="C54" t="s">
        <v>262</v>
      </c>
      <c r="D54" t="s">
        <v>255</v>
      </c>
      <c r="E54" t="s">
        <v>263</v>
      </c>
      <c r="F54">
        <v>100564060</v>
      </c>
      <c r="G54" t="s">
        <v>283</v>
      </c>
      <c r="H54">
        <v>91</v>
      </c>
      <c r="I54" t="s">
        <v>258</v>
      </c>
      <c r="J54">
        <v>7</v>
      </c>
      <c r="K54" s="2">
        <v>45898</v>
      </c>
    </row>
    <row r="55" spans="1:11">
      <c r="A55" t="s">
        <v>269</v>
      </c>
      <c r="B55" t="s">
        <v>253</v>
      </c>
      <c r="C55" t="s">
        <v>282</v>
      </c>
      <c r="D55" t="s">
        <v>255</v>
      </c>
      <c r="E55" t="s">
        <v>268</v>
      </c>
      <c r="F55">
        <v>100566428</v>
      </c>
      <c r="G55" t="s">
        <v>296</v>
      </c>
      <c r="H55">
        <v>91</v>
      </c>
      <c r="I55" t="s">
        <v>258</v>
      </c>
      <c r="J55">
        <v>10</v>
      </c>
      <c r="K55" s="2">
        <v>45898</v>
      </c>
    </row>
    <row r="56" spans="1:11">
      <c r="A56" t="s">
        <v>269</v>
      </c>
      <c r="B56" t="s">
        <v>253</v>
      </c>
      <c r="C56" t="s">
        <v>254</v>
      </c>
      <c r="D56" t="s">
        <v>255</v>
      </c>
      <c r="E56" t="s">
        <v>268</v>
      </c>
      <c r="F56">
        <v>100566446</v>
      </c>
      <c r="G56" t="s">
        <v>308</v>
      </c>
      <c r="H56">
        <v>91</v>
      </c>
      <c r="I56" t="s">
        <v>258</v>
      </c>
      <c r="J56">
        <v>9</v>
      </c>
      <c r="K56" s="2">
        <v>45898</v>
      </c>
    </row>
    <row r="57" spans="1:11">
      <c r="A57" t="s">
        <v>269</v>
      </c>
      <c r="B57" t="s">
        <v>253</v>
      </c>
      <c r="C57" t="s">
        <v>282</v>
      </c>
      <c r="D57" t="s">
        <v>255</v>
      </c>
      <c r="E57" t="s">
        <v>256</v>
      </c>
      <c r="F57">
        <v>100566729</v>
      </c>
      <c r="G57" t="s">
        <v>309</v>
      </c>
      <c r="H57">
        <v>91</v>
      </c>
      <c r="I57" t="s">
        <v>258</v>
      </c>
      <c r="J57">
        <v>7</v>
      </c>
      <c r="K57" s="2">
        <v>45898</v>
      </c>
    </row>
    <row r="58" spans="1:11">
      <c r="A58" t="s">
        <v>261</v>
      </c>
      <c r="B58" t="s">
        <v>253</v>
      </c>
      <c r="C58" t="s">
        <v>262</v>
      </c>
      <c r="D58" t="s">
        <v>255</v>
      </c>
      <c r="E58" t="s">
        <v>263</v>
      </c>
      <c r="F58">
        <v>100566553</v>
      </c>
      <c r="G58" t="s">
        <v>285</v>
      </c>
      <c r="H58">
        <v>91</v>
      </c>
      <c r="I58" t="s">
        <v>258</v>
      </c>
      <c r="J58">
        <v>12</v>
      </c>
      <c r="K58" s="2">
        <v>45896</v>
      </c>
    </row>
    <row r="59" spans="1:11">
      <c r="A59" t="s">
        <v>252</v>
      </c>
      <c r="B59" t="s">
        <v>253</v>
      </c>
      <c r="C59" t="s">
        <v>281</v>
      </c>
      <c r="D59" t="s">
        <v>255</v>
      </c>
      <c r="E59" t="s">
        <v>263</v>
      </c>
      <c r="F59">
        <v>100566811</v>
      </c>
      <c r="G59" t="s">
        <v>310</v>
      </c>
      <c r="H59">
        <v>91</v>
      </c>
      <c r="I59" t="s">
        <v>258</v>
      </c>
      <c r="J59">
        <v>24</v>
      </c>
      <c r="K59" s="2">
        <v>45898</v>
      </c>
    </row>
    <row r="60" spans="1:11">
      <c r="A60" t="s">
        <v>278</v>
      </c>
      <c r="B60" t="s">
        <v>253</v>
      </c>
      <c r="C60" t="s">
        <v>274</v>
      </c>
      <c r="D60" t="s">
        <v>255</v>
      </c>
      <c r="E60" t="s">
        <v>263</v>
      </c>
      <c r="F60">
        <v>100566938</v>
      </c>
      <c r="G60" t="s">
        <v>290</v>
      </c>
      <c r="H60">
        <v>91</v>
      </c>
      <c r="I60" t="s">
        <v>258</v>
      </c>
      <c r="J60">
        <v>12</v>
      </c>
      <c r="K60" s="2">
        <v>45896</v>
      </c>
    </row>
    <row r="61" spans="1:11">
      <c r="A61" t="s">
        <v>269</v>
      </c>
      <c r="B61" t="s">
        <v>253</v>
      </c>
      <c r="C61" t="s">
        <v>274</v>
      </c>
      <c r="D61" t="s">
        <v>255</v>
      </c>
      <c r="E61" t="s">
        <v>263</v>
      </c>
      <c r="F61">
        <v>100564060</v>
      </c>
      <c r="G61" t="s">
        <v>283</v>
      </c>
      <c r="H61">
        <v>91</v>
      </c>
      <c r="I61" t="s">
        <v>258</v>
      </c>
      <c r="J61">
        <v>14</v>
      </c>
      <c r="K61" s="2">
        <v>45898</v>
      </c>
    </row>
    <row r="62" spans="1:11">
      <c r="A62" t="s">
        <v>269</v>
      </c>
      <c r="B62" t="s">
        <v>253</v>
      </c>
      <c r="C62" t="s">
        <v>274</v>
      </c>
      <c r="D62" t="s">
        <v>255</v>
      </c>
      <c r="E62" t="s">
        <v>268</v>
      </c>
      <c r="F62">
        <v>100566400</v>
      </c>
      <c r="G62" t="s">
        <v>286</v>
      </c>
      <c r="H62">
        <v>91</v>
      </c>
      <c r="I62" t="s">
        <v>258</v>
      </c>
      <c r="J62">
        <v>9</v>
      </c>
      <c r="K62" s="2">
        <v>45898</v>
      </c>
    </row>
    <row r="63" spans="1:11">
      <c r="A63" t="s">
        <v>269</v>
      </c>
      <c r="B63" t="s">
        <v>253</v>
      </c>
      <c r="C63" t="s">
        <v>279</v>
      </c>
      <c r="D63" t="s">
        <v>255</v>
      </c>
      <c r="E63" t="s">
        <v>268</v>
      </c>
      <c r="F63">
        <v>100564717</v>
      </c>
      <c r="G63" t="s">
        <v>311</v>
      </c>
      <c r="H63">
        <v>91</v>
      </c>
      <c r="I63" t="s">
        <v>258</v>
      </c>
      <c r="J63">
        <v>9</v>
      </c>
      <c r="K63" s="2">
        <v>45898</v>
      </c>
    </row>
    <row r="64" spans="1:11">
      <c r="A64" t="s">
        <v>278</v>
      </c>
      <c r="B64" t="s">
        <v>253</v>
      </c>
      <c r="C64" t="s">
        <v>284</v>
      </c>
      <c r="D64" t="s">
        <v>255</v>
      </c>
      <c r="E64" t="s">
        <v>256</v>
      </c>
      <c r="F64">
        <v>100565622</v>
      </c>
      <c r="G64" t="s">
        <v>280</v>
      </c>
      <c r="H64">
        <v>91</v>
      </c>
      <c r="I64" t="s">
        <v>258</v>
      </c>
      <c r="J64">
        <v>12</v>
      </c>
      <c r="K64" s="2">
        <v>45896</v>
      </c>
    </row>
    <row r="65" spans="1:11">
      <c r="A65" t="s">
        <v>261</v>
      </c>
      <c r="B65" t="s">
        <v>253</v>
      </c>
      <c r="C65" t="s">
        <v>284</v>
      </c>
      <c r="D65" t="s">
        <v>255</v>
      </c>
      <c r="E65" t="s">
        <v>268</v>
      </c>
      <c r="F65">
        <v>100566874</v>
      </c>
      <c r="G65" t="s">
        <v>264</v>
      </c>
      <c r="H65">
        <v>91</v>
      </c>
      <c r="I65" t="s">
        <v>258</v>
      </c>
      <c r="J65">
        <v>3</v>
      </c>
      <c r="K65" s="2">
        <v>45896</v>
      </c>
    </row>
    <row r="66" spans="1:11">
      <c r="A66" t="s">
        <v>252</v>
      </c>
      <c r="B66" t="s">
        <v>253</v>
      </c>
      <c r="C66" t="s">
        <v>284</v>
      </c>
      <c r="D66" t="s">
        <v>255</v>
      </c>
      <c r="E66" t="s">
        <v>256</v>
      </c>
      <c r="F66">
        <v>100566850</v>
      </c>
      <c r="G66" t="s">
        <v>295</v>
      </c>
      <c r="H66">
        <v>91</v>
      </c>
      <c r="I66" t="s">
        <v>258</v>
      </c>
      <c r="J66">
        <v>6</v>
      </c>
      <c r="K66" s="2">
        <v>45898</v>
      </c>
    </row>
    <row r="67" spans="1:11">
      <c r="A67" t="s">
        <v>278</v>
      </c>
      <c r="B67" t="s">
        <v>253</v>
      </c>
      <c r="C67" t="s">
        <v>277</v>
      </c>
      <c r="D67" t="s">
        <v>255</v>
      </c>
      <c r="E67" t="s">
        <v>268</v>
      </c>
      <c r="F67">
        <v>100565622</v>
      </c>
      <c r="G67" t="s">
        <v>280</v>
      </c>
      <c r="H67">
        <v>91</v>
      </c>
      <c r="I67" t="s">
        <v>258</v>
      </c>
      <c r="J67">
        <v>14</v>
      </c>
      <c r="K67" s="2">
        <v>45896</v>
      </c>
    </row>
    <row r="68" spans="1:11">
      <c r="A68" t="s">
        <v>278</v>
      </c>
      <c r="B68" t="s">
        <v>253</v>
      </c>
      <c r="C68" t="s">
        <v>282</v>
      </c>
      <c r="D68" t="s">
        <v>255</v>
      </c>
      <c r="E68" t="s">
        <v>268</v>
      </c>
      <c r="F68">
        <v>100565622</v>
      </c>
      <c r="G68" t="s">
        <v>280</v>
      </c>
      <c r="H68">
        <v>91</v>
      </c>
      <c r="I68" t="s">
        <v>258</v>
      </c>
      <c r="J68">
        <v>14</v>
      </c>
      <c r="K68" s="2">
        <v>45896</v>
      </c>
    </row>
    <row r="69" spans="1:11">
      <c r="A69" t="s">
        <v>261</v>
      </c>
      <c r="B69" t="s">
        <v>253</v>
      </c>
      <c r="C69" t="s">
        <v>277</v>
      </c>
      <c r="D69" t="s">
        <v>255</v>
      </c>
      <c r="E69" t="s">
        <v>268</v>
      </c>
      <c r="F69">
        <v>100565742</v>
      </c>
      <c r="G69" t="s">
        <v>299</v>
      </c>
      <c r="H69">
        <v>91</v>
      </c>
      <c r="I69" t="s">
        <v>258</v>
      </c>
      <c r="J69">
        <v>8</v>
      </c>
      <c r="K69" s="2">
        <v>45896</v>
      </c>
    </row>
    <row r="70" spans="1:11">
      <c r="A70" t="s">
        <v>252</v>
      </c>
      <c r="B70" t="s">
        <v>253</v>
      </c>
      <c r="C70" t="s">
        <v>281</v>
      </c>
      <c r="D70" t="s">
        <v>255</v>
      </c>
      <c r="E70" t="s">
        <v>263</v>
      </c>
      <c r="F70">
        <v>100566654</v>
      </c>
      <c r="G70" t="s">
        <v>312</v>
      </c>
      <c r="H70">
        <v>91</v>
      </c>
      <c r="I70" t="s">
        <v>258</v>
      </c>
      <c r="J70">
        <v>12</v>
      </c>
      <c r="K70" s="2">
        <v>45898</v>
      </c>
    </row>
    <row r="71" spans="1:11">
      <c r="A71" t="s">
        <v>278</v>
      </c>
      <c r="B71" t="s">
        <v>253</v>
      </c>
      <c r="C71" t="s">
        <v>254</v>
      </c>
      <c r="D71" t="s">
        <v>255</v>
      </c>
      <c r="E71" t="s">
        <v>263</v>
      </c>
      <c r="F71">
        <v>100565622</v>
      </c>
      <c r="G71" t="s">
        <v>280</v>
      </c>
      <c r="H71">
        <v>91</v>
      </c>
      <c r="I71" t="s">
        <v>258</v>
      </c>
      <c r="J71">
        <v>9</v>
      </c>
      <c r="K71" s="2">
        <v>45896</v>
      </c>
    </row>
    <row r="72" spans="1:11">
      <c r="A72" t="s">
        <v>278</v>
      </c>
      <c r="B72" t="s">
        <v>253</v>
      </c>
      <c r="C72" t="s">
        <v>262</v>
      </c>
      <c r="D72" t="s">
        <v>255</v>
      </c>
      <c r="E72" t="s">
        <v>256</v>
      </c>
      <c r="F72">
        <v>100565622</v>
      </c>
      <c r="G72" t="s">
        <v>280</v>
      </c>
      <c r="H72">
        <v>91</v>
      </c>
      <c r="I72" t="s">
        <v>258</v>
      </c>
      <c r="J72">
        <v>9</v>
      </c>
      <c r="K72" s="2">
        <v>45896</v>
      </c>
    </row>
    <row r="73" spans="1:11">
      <c r="A73" t="s">
        <v>275</v>
      </c>
      <c r="B73" t="s">
        <v>253</v>
      </c>
      <c r="C73" t="s">
        <v>294</v>
      </c>
      <c r="D73" t="s">
        <v>255</v>
      </c>
      <c r="E73" t="s">
        <v>263</v>
      </c>
      <c r="F73">
        <v>100567060</v>
      </c>
      <c r="G73" t="s">
        <v>276</v>
      </c>
      <c r="H73">
        <v>91</v>
      </c>
      <c r="I73" t="s">
        <v>258</v>
      </c>
      <c r="J73">
        <v>11</v>
      </c>
      <c r="K73" s="2">
        <v>45898</v>
      </c>
    </row>
    <row r="74" spans="1:11">
      <c r="A74" t="s">
        <v>269</v>
      </c>
      <c r="B74" t="s">
        <v>253</v>
      </c>
      <c r="C74" t="s">
        <v>292</v>
      </c>
      <c r="D74" t="s">
        <v>255</v>
      </c>
      <c r="E74" t="s">
        <v>256</v>
      </c>
      <c r="F74">
        <v>100564057</v>
      </c>
      <c r="G74" t="s">
        <v>313</v>
      </c>
      <c r="H74">
        <v>91</v>
      </c>
      <c r="I74" t="s">
        <v>258</v>
      </c>
      <c r="J74">
        <v>9</v>
      </c>
      <c r="K74" s="2">
        <v>45898</v>
      </c>
    </row>
    <row r="75" spans="1:11">
      <c r="A75" t="s">
        <v>261</v>
      </c>
      <c r="B75" t="s">
        <v>253</v>
      </c>
      <c r="C75" t="s">
        <v>279</v>
      </c>
      <c r="D75" t="s">
        <v>255</v>
      </c>
      <c r="E75" t="s">
        <v>256</v>
      </c>
      <c r="F75">
        <v>100566553</v>
      </c>
      <c r="G75" t="s">
        <v>285</v>
      </c>
      <c r="H75">
        <v>91</v>
      </c>
      <c r="I75" t="s">
        <v>258</v>
      </c>
      <c r="J75">
        <v>7</v>
      </c>
      <c r="K75" s="2">
        <v>45896</v>
      </c>
    </row>
    <row r="76" spans="1:11">
      <c r="A76" t="s">
        <v>275</v>
      </c>
      <c r="B76" t="s">
        <v>253</v>
      </c>
      <c r="C76" t="s">
        <v>277</v>
      </c>
      <c r="D76" t="s">
        <v>255</v>
      </c>
      <c r="E76" t="s">
        <v>268</v>
      </c>
      <c r="F76">
        <v>100565673</v>
      </c>
      <c r="G76" t="s">
        <v>314</v>
      </c>
      <c r="H76">
        <v>92</v>
      </c>
      <c r="I76" t="s">
        <v>260</v>
      </c>
      <c r="J76">
        <v>8</v>
      </c>
      <c r="K76" s="2">
        <v>45898</v>
      </c>
    </row>
    <row r="77" spans="1:11">
      <c r="A77" t="s">
        <v>287</v>
      </c>
      <c r="B77" t="s">
        <v>253</v>
      </c>
      <c r="C77" t="s">
        <v>254</v>
      </c>
      <c r="D77" t="s">
        <v>255</v>
      </c>
      <c r="E77" t="s">
        <v>268</v>
      </c>
      <c r="F77">
        <v>100567004</v>
      </c>
      <c r="G77" t="s">
        <v>303</v>
      </c>
      <c r="H77">
        <v>92</v>
      </c>
      <c r="I77" t="s">
        <v>260</v>
      </c>
      <c r="J77">
        <v>11</v>
      </c>
      <c r="K77" s="2">
        <v>45898</v>
      </c>
    </row>
    <row r="78" spans="1:11">
      <c r="A78" t="s">
        <v>278</v>
      </c>
      <c r="B78" t="s">
        <v>253</v>
      </c>
      <c r="C78" t="s">
        <v>262</v>
      </c>
      <c r="D78" t="s">
        <v>255</v>
      </c>
      <c r="E78" t="s">
        <v>256</v>
      </c>
      <c r="F78">
        <v>100566371</v>
      </c>
      <c r="G78" t="s">
        <v>315</v>
      </c>
      <c r="H78">
        <v>92</v>
      </c>
      <c r="I78" t="s">
        <v>260</v>
      </c>
      <c r="J78">
        <v>9</v>
      </c>
      <c r="K78" s="2">
        <v>45896</v>
      </c>
    </row>
    <row r="79" spans="1:11">
      <c r="A79" t="s">
        <v>275</v>
      </c>
      <c r="B79" t="s">
        <v>253</v>
      </c>
      <c r="C79" t="s">
        <v>254</v>
      </c>
      <c r="D79" t="s">
        <v>255</v>
      </c>
      <c r="E79" t="s">
        <v>268</v>
      </c>
      <c r="F79">
        <v>100565673</v>
      </c>
      <c r="G79" t="s">
        <v>314</v>
      </c>
      <c r="H79">
        <v>92</v>
      </c>
      <c r="I79" t="s">
        <v>260</v>
      </c>
      <c r="J79">
        <v>19</v>
      </c>
      <c r="K79" s="2">
        <v>45896</v>
      </c>
    </row>
    <row r="80" spans="1:11">
      <c r="A80" t="s">
        <v>275</v>
      </c>
      <c r="B80" t="s">
        <v>253</v>
      </c>
      <c r="C80" t="s">
        <v>282</v>
      </c>
      <c r="D80" t="s">
        <v>255</v>
      </c>
      <c r="E80" t="s">
        <v>256</v>
      </c>
      <c r="F80">
        <v>100565417</v>
      </c>
      <c r="G80" t="s">
        <v>316</v>
      </c>
      <c r="H80">
        <v>92</v>
      </c>
      <c r="I80" t="s">
        <v>260</v>
      </c>
      <c r="J80">
        <v>13</v>
      </c>
      <c r="K80" s="2">
        <v>45896</v>
      </c>
    </row>
    <row r="81" spans="1:11">
      <c r="A81" t="s">
        <v>287</v>
      </c>
      <c r="B81" t="s">
        <v>253</v>
      </c>
      <c r="C81" t="s">
        <v>277</v>
      </c>
      <c r="D81" t="s">
        <v>255</v>
      </c>
      <c r="E81" t="s">
        <v>268</v>
      </c>
      <c r="F81">
        <v>100567004</v>
      </c>
      <c r="G81" t="s">
        <v>303</v>
      </c>
      <c r="H81">
        <v>92</v>
      </c>
      <c r="I81" t="s">
        <v>260</v>
      </c>
      <c r="J81">
        <v>14</v>
      </c>
      <c r="K81" s="2">
        <v>45898</v>
      </c>
    </row>
    <row r="82" spans="1:11">
      <c r="A82" t="s">
        <v>287</v>
      </c>
      <c r="B82" t="s">
        <v>253</v>
      </c>
      <c r="C82" t="s">
        <v>284</v>
      </c>
      <c r="D82" t="s">
        <v>255</v>
      </c>
      <c r="E82" t="s">
        <v>268</v>
      </c>
      <c r="F82">
        <v>100567004</v>
      </c>
      <c r="G82" t="s">
        <v>303</v>
      </c>
      <c r="H82">
        <v>92</v>
      </c>
      <c r="I82" t="s">
        <v>260</v>
      </c>
      <c r="J82">
        <v>12</v>
      </c>
      <c r="K82" s="2">
        <v>45896</v>
      </c>
    </row>
    <row r="83" spans="1:11">
      <c r="A83" t="s">
        <v>278</v>
      </c>
      <c r="B83" t="s">
        <v>253</v>
      </c>
      <c r="C83" t="s">
        <v>279</v>
      </c>
      <c r="D83" t="s">
        <v>255</v>
      </c>
      <c r="E83" t="s">
        <v>268</v>
      </c>
      <c r="F83">
        <v>100566371</v>
      </c>
      <c r="G83" t="s">
        <v>315</v>
      </c>
      <c r="H83">
        <v>92</v>
      </c>
      <c r="I83" t="s">
        <v>260</v>
      </c>
      <c r="J83">
        <v>14</v>
      </c>
      <c r="K83" s="2">
        <v>45896</v>
      </c>
    </row>
    <row r="84" spans="1:11">
      <c r="A84" t="s">
        <v>278</v>
      </c>
      <c r="B84" t="s">
        <v>253</v>
      </c>
      <c r="C84" t="s">
        <v>262</v>
      </c>
      <c r="D84" t="s">
        <v>255</v>
      </c>
      <c r="E84" t="s">
        <v>263</v>
      </c>
      <c r="F84">
        <v>100566371</v>
      </c>
      <c r="G84" t="s">
        <v>315</v>
      </c>
      <c r="H84">
        <v>92</v>
      </c>
      <c r="I84" t="s">
        <v>260</v>
      </c>
      <c r="J84">
        <v>17</v>
      </c>
      <c r="K84" s="2">
        <v>45896</v>
      </c>
    </row>
    <row r="85" spans="1:11">
      <c r="A85" t="s">
        <v>275</v>
      </c>
      <c r="B85" t="s">
        <v>253</v>
      </c>
      <c r="C85" t="s">
        <v>267</v>
      </c>
      <c r="D85" t="s">
        <v>255</v>
      </c>
      <c r="E85" t="s">
        <v>268</v>
      </c>
      <c r="F85">
        <v>100565417</v>
      </c>
      <c r="G85" t="s">
        <v>316</v>
      </c>
      <c r="H85">
        <v>92</v>
      </c>
      <c r="I85" t="s">
        <v>260</v>
      </c>
      <c r="J85">
        <v>14</v>
      </c>
      <c r="K85" s="2">
        <v>45898</v>
      </c>
    </row>
    <row r="86" spans="1:11">
      <c r="A86" t="s">
        <v>278</v>
      </c>
      <c r="B86" t="s">
        <v>253</v>
      </c>
      <c r="C86" t="s">
        <v>292</v>
      </c>
      <c r="D86" t="s">
        <v>255</v>
      </c>
      <c r="E86" t="s">
        <v>263</v>
      </c>
      <c r="F86">
        <v>100566371</v>
      </c>
      <c r="G86" t="s">
        <v>315</v>
      </c>
      <c r="H86">
        <v>92</v>
      </c>
      <c r="I86" t="s">
        <v>260</v>
      </c>
      <c r="J86">
        <v>15</v>
      </c>
      <c r="K86" s="2">
        <v>45898</v>
      </c>
    </row>
    <row r="87" spans="1:11">
      <c r="A87" t="s">
        <v>275</v>
      </c>
      <c r="B87" t="s">
        <v>253</v>
      </c>
      <c r="C87" t="s">
        <v>282</v>
      </c>
      <c r="D87" t="s">
        <v>255</v>
      </c>
      <c r="E87" t="s">
        <v>268</v>
      </c>
      <c r="F87">
        <v>100565417</v>
      </c>
      <c r="G87" t="s">
        <v>316</v>
      </c>
      <c r="H87">
        <v>92</v>
      </c>
      <c r="I87" t="s">
        <v>260</v>
      </c>
      <c r="J87">
        <v>7</v>
      </c>
      <c r="K87" s="2">
        <v>45896</v>
      </c>
    </row>
    <row r="88" spans="1:11">
      <c r="A88" t="s">
        <v>275</v>
      </c>
      <c r="B88" t="s">
        <v>253</v>
      </c>
      <c r="C88" t="s">
        <v>279</v>
      </c>
      <c r="D88" t="s">
        <v>255</v>
      </c>
      <c r="E88" t="s">
        <v>256</v>
      </c>
      <c r="F88">
        <v>100565673</v>
      </c>
      <c r="G88" t="s">
        <v>314</v>
      </c>
      <c r="H88">
        <v>92</v>
      </c>
      <c r="I88" t="s">
        <v>260</v>
      </c>
      <c r="J88">
        <v>7</v>
      </c>
      <c r="K88" s="2">
        <v>45898</v>
      </c>
    </row>
    <row r="89" spans="1:11">
      <c r="A89" t="s">
        <v>275</v>
      </c>
      <c r="B89" t="s">
        <v>253</v>
      </c>
      <c r="C89" t="s">
        <v>279</v>
      </c>
      <c r="D89" t="s">
        <v>255</v>
      </c>
      <c r="E89" t="s">
        <v>268</v>
      </c>
      <c r="F89">
        <v>100565673</v>
      </c>
      <c r="G89" t="s">
        <v>314</v>
      </c>
      <c r="H89">
        <v>92</v>
      </c>
      <c r="I89" t="s">
        <v>260</v>
      </c>
      <c r="J89">
        <v>12</v>
      </c>
      <c r="K89" s="2">
        <v>45896</v>
      </c>
    </row>
    <row r="90" spans="1:11">
      <c r="A90" t="s">
        <v>278</v>
      </c>
      <c r="B90" t="s">
        <v>253</v>
      </c>
      <c r="C90" t="s">
        <v>274</v>
      </c>
      <c r="D90" t="s">
        <v>255</v>
      </c>
      <c r="E90" t="s">
        <v>268</v>
      </c>
      <c r="F90">
        <v>100566371</v>
      </c>
      <c r="G90" t="s">
        <v>315</v>
      </c>
      <c r="H90">
        <v>92</v>
      </c>
      <c r="I90" t="s">
        <v>260</v>
      </c>
      <c r="J90">
        <v>12</v>
      </c>
      <c r="K90" s="2">
        <v>45896</v>
      </c>
    </row>
    <row r="91" spans="1:11">
      <c r="A91" t="s">
        <v>287</v>
      </c>
      <c r="B91" t="s">
        <v>253</v>
      </c>
      <c r="C91" t="s">
        <v>281</v>
      </c>
      <c r="D91" t="s">
        <v>255</v>
      </c>
      <c r="E91" t="s">
        <v>268</v>
      </c>
      <c r="F91">
        <v>100567004</v>
      </c>
      <c r="G91" t="s">
        <v>303</v>
      </c>
      <c r="H91">
        <v>92</v>
      </c>
      <c r="I91" t="s">
        <v>260</v>
      </c>
      <c r="J91">
        <v>12</v>
      </c>
      <c r="K91" s="2">
        <v>45896</v>
      </c>
    </row>
    <row r="92" spans="1:11">
      <c r="A92" t="s">
        <v>287</v>
      </c>
      <c r="B92" t="s">
        <v>253</v>
      </c>
      <c r="C92" t="s">
        <v>294</v>
      </c>
      <c r="D92" t="s">
        <v>255</v>
      </c>
      <c r="E92" t="s">
        <v>268</v>
      </c>
      <c r="F92">
        <v>100567004</v>
      </c>
      <c r="G92" t="s">
        <v>303</v>
      </c>
      <c r="H92">
        <v>92</v>
      </c>
      <c r="I92" t="s">
        <v>260</v>
      </c>
      <c r="J92">
        <v>11</v>
      </c>
      <c r="K92" s="2">
        <v>45896</v>
      </c>
    </row>
    <row r="93" spans="1:11">
      <c r="A93" t="s">
        <v>275</v>
      </c>
      <c r="B93" t="s">
        <v>253</v>
      </c>
      <c r="C93" t="s">
        <v>274</v>
      </c>
      <c r="D93" t="s">
        <v>255</v>
      </c>
      <c r="E93" t="s">
        <v>263</v>
      </c>
      <c r="F93">
        <v>100565673</v>
      </c>
      <c r="G93" t="s">
        <v>314</v>
      </c>
      <c r="H93">
        <v>92</v>
      </c>
      <c r="I93" t="s">
        <v>260</v>
      </c>
      <c r="J93">
        <v>12</v>
      </c>
      <c r="K93" s="2">
        <v>45896</v>
      </c>
    </row>
    <row r="94" spans="1:11">
      <c r="A94" t="s">
        <v>278</v>
      </c>
      <c r="B94" t="s">
        <v>253</v>
      </c>
      <c r="C94" t="s">
        <v>274</v>
      </c>
      <c r="D94" t="s">
        <v>255</v>
      </c>
      <c r="E94" t="s">
        <v>263</v>
      </c>
      <c r="F94">
        <v>100566371</v>
      </c>
      <c r="G94" t="s">
        <v>315</v>
      </c>
      <c r="H94">
        <v>92</v>
      </c>
      <c r="I94" t="s">
        <v>260</v>
      </c>
      <c r="J94">
        <v>12</v>
      </c>
      <c r="K94" s="2">
        <v>45896</v>
      </c>
    </row>
    <row r="95" spans="1:11">
      <c r="A95" t="s">
        <v>278</v>
      </c>
      <c r="B95" t="s">
        <v>253</v>
      </c>
      <c r="C95" t="s">
        <v>277</v>
      </c>
      <c r="D95" t="s">
        <v>255</v>
      </c>
      <c r="E95" t="s">
        <v>268</v>
      </c>
      <c r="F95">
        <v>100566371</v>
      </c>
      <c r="G95" t="s">
        <v>315</v>
      </c>
      <c r="H95">
        <v>92</v>
      </c>
      <c r="I95" t="s">
        <v>260</v>
      </c>
      <c r="J95">
        <v>14</v>
      </c>
      <c r="K95" s="2">
        <v>45898</v>
      </c>
    </row>
    <row r="96" spans="1:11">
      <c r="A96" t="s">
        <v>275</v>
      </c>
      <c r="B96" t="s">
        <v>253</v>
      </c>
      <c r="C96" t="s">
        <v>294</v>
      </c>
      <c r="D96" t="s">
        <v>255</v>
      </c>
      <c r="E96" t="s">
        <v>256</v>
      </c>
      <c r="F96">
        <v>100565417</v>
      </c>
      <c r="G96" t="s">
        <v>316</v>
      </c>
      <c r="H96">
        <v>92</v>
      </c>
      <c r="I96" t="s">
        <v>260</v>
      </c>
      <c r="J96">
        <v>12</v>
      </c>
      <c r="K96" s="2">
        <v>45898</v>
      </c>
    </row>
    <row r="97" spans="1:11">
      <c r="A97" t="s">
        <v>287</v>
      </c>
      <c r="B97" t="s">
        <v>253</v>
      </c>
      <c r="C97" t="s">
        <v>267</v>
      </c>
      <c r="D97" t="s">
        <v>255</v>
      </c>
      <c r="E97" t="s">
        <v>268</v>
      </c>
      <c r="F97">
        <v>100567004</v>
      </c>
      <c r="G97" t="s">
        <v>303</v>
      </c>
      <c r="H97">
        <v>92</v>
      </c>
      <c r="I97" t="s">
        <v>260</v>
      </c>
      <c r="J97">
        <v>32</v>
      </c>
      <c r="K97" s="2">
        <v>45896</v>
      </c>
    </row>
    <row r="98" spans="1:11">
      <c r="A98" t="s">
        <v>287</v>
      </c>
      <c r="B98" t="s">
        <v>253</v>
      </c>
      <c r="C98" t="s">
        <v>272</v>
      </c>
      <c r="D98" t="s">
        <v>255</v>
      </c>
      <c r="E98" t="s">
        <v>268</v>
      </c>
      <c r="F98">
        <v>100567004</v>
      </c>
      <c r="G98" t="s">
        <v>303</v>
      </c>
      <c r="H98">
        <v>92</v>
      </c>
      <c r="I98" t="s">
        <v>260</v>
      </c>
      <c r="J98">
        <v>14</v>
      </c>
      <c r="K98" s="2">
        <v>45896</v>
      </c>
    </row>
    <row r="99" spans="1:11">
      <c r="A99" t="s">
        <v>278</v>
      </c>
      <c r="B99" t="s">
        <v>253</v>
      </c>
      <c r="C99" t="s">
        <v>262</v>
      </c>
      <c r="D99" t="s">
        <v>255</v>
      </c>
      <c r="E99" t="s">
        <v>268</v>
      </c>
      <c r="F99">
        <v>100566371</v>
      </c>
      <c r="G99" t="s">
        <v>315</v>
      </c>
      <c r="H99">
        <v>92</v>
      </c>
      <c r="I99" t="s">
        <v>260</v>
      </c>
      <c r="J99">
        <v>8</v>
      </c>
      <c r="K99" s="2">
        <v>45896</v>
      </c>
    </row>
    <row r="100" spans="1:11">
      <c r="A100" t="s">
        <v>269</v>
      </c>
      <c r="B100" t="s">
        <v>253</v>
      </c>
      <c r="C100" t="s">
        <v>284</v>
      </c>
      <c r="D100" t="s">
        <v>255</v>
      </c>
      <c r="E100" t="s">
        <v>256</v>
      </c>
      <c r="F100">
        <v>100565685</v>
      </c>
      <c r="G100" t="s">
        <v>306</v>
      </c>
      <c r="H100">
        <v>92</v>
      </c>
      <c r="I100" t="s">
        <v>260</v>
      </c>
      <c r="J100">
        <v>11</v>
      </c>
      <c r="K100" s="2">
        <v>45898</v>
      </c>
    </row>
    <row r="101" spans="1:11">
      <c r="A101" t="s">
        <v>287</v>
      </c>
      <c r="B101" t="s">
        <v>253</v>
      </c>
      <c r="C101" t="s">
        <v>284</v>
      </c>
      <c r="D101" t="s">
        <v>255</v>
      </c>
      <c r="E101" t="s">
        <v>263</v>
      </c>
      <c r="F101">
        <v>100567004</v>
      </c>
      <c r="G101" t="s">
        <v>303</v>
      </c>
      <c r="H101">
        <v>92</v>
      </c>
      <c r="I101" t="s">
        <v>260</v>
      </c>
      <c r="J101">
        <v>12</v>
      </c>
      <c r="K101" s="2">
        <v>45896</v>
      </c>
    </row>
    <row r="102" spans="1:11">
      <c r="A102" t="s">
        <v>278</v>
      </c>
      <c r="B102" t="s">
        <v>253</v>
      </c>
      <c r="C102" t="s">
        <v>282</v>
      </c>
      <c r="D102" t="s">
        <v>255</v>
      </c>
      <c r="E102" t="s">
        <v>268</v>
      </c>
      <c r="F102">
        <v>100566371</v>
      </c>
      <c r="G102" t="s">
        <v>315</v>
      </c>
      <c r="H102">
        <v>92</v>
      </c>
      <c r="I102" t="s">
        <v>260</v>
      </c>
      <c r="J102">
        <v>14</v>
      </c>
      <c r="K102" s="2">
        <v>45896</v>
      </c>
    </row>
    <row r="103" spans="10:10">
      <c r="J103">
        <f>SUBTOTAL(9,J80:J96)</f>
        <v>210</v>
      </c>
    </row>
    <row r="113" spans="10:10">
      <c r="J113">
        <f>SUBTOTAL(9,J104:J112)</f>
        <v>0</v>
      </c>
    </row>
  </sheetData>
  <autoFilter xmlns:etc="http://www.wps.cn/officeDocument/2017/etCustomData" ref="A1:N10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4"/>
  <sheetViews>
    <sheetView topLeftCell="E1" workbookViewId="0">
      <selection activeCell="L31" sqref="L31"/>
    </sheetView>
  </sheetViews>
  <sheetFormatPr defaultColWidth="9" defaultRowHeight="13.5"/>
  <cols>
    <col min="1" max="1" width="13.375" customWidth="1"/>
    <col min="2" max="2" width="15" customWidth="1"/>
    <col min="7" max="7" width="52.5" customWidth="1"/>
    <col min="12" max="12" width="52.5"/>
    <col min="13" max="14" width="12.75"/>
  </cols>
  <sheetData>
    <row r="1" spans="1:13">
      <c r="A1" t="s">
        <v>317</v>
      </c>
      <c r="B1" t="s">
        <v>241</v>
      </c>
      <c r="C1" t="s">
        <v>243</v>
      </c>
      <c r="D1" t="s">
        <v>244</v>
      </c>
      <c r="E1" t="s">
        <v>242</v>
      </c>
      <c r="F1" t="s">
        <v>247</v>
      </c>
      <c r="G1" t="s">
        <v>24</v>
      </c>
      <c r="H1" t="s">
        <v>249</v>
      </c>
      <c r="I1" t="s">
        <v>318</v>
      </c>
      <c r="J1" t="s">
        <v>319</v>
      </c>
      <c r="K1" t="s">
        <v>320</v>
      </c>
      <c r="L1" t="s">
        <v>24</v>
      </c>
      <c r="M1" t="s">
        <v>251</v>
      </c>
    </row>
    <row r="2" spans="1:13">
      <c r="A2" t="s">
        <v>321</v>
      </c>
      <c r="B2" t="s">
        <v>4</v>
      </c>
      <c r="C2" t="s">
        <v>322</v>
      </c>
      <c r="D2" t="s">
        <v>270</v>
      </c>
      <c r="F2">
        <v>65</v>
      </c>
      <c r="G2" t="s">
        <v>182</v>
      </c>
      <c r="H2">
        <v>88</v>
      </c>
      <c r="I2" s="58" t="s">
        <v>323</v>
      </c>
      <c r="J2" t="s">
        <v>324</v>
      </c>
      <c r="K2" s="2">
        <v>45908</v>
      </c>
      <c r="L2" t="s">
        <v>143</v>
      </c>
      <c r="M2">
        <v>316</v>
      </c>
    </row>
    <row r="3" spans="1:13">
      <c r="A3" t="s">
        <v>321</v>
      </c>
      <c r="B3" t="s">
        <v>4</v>
      </c>
      <c r="C3" t="s">
        <v>322</v>
      </c>
      <c r="D3" t="s">
        <v>270</v>
      </c>
      <c r="F3">
        <v>76</v>
      </c>
      <c r="G3" t="s">
        <v>194</v>
      </c>
      <c r="H3">
        <v>137</v>
      </c>
      <c r="I3" s="58" t="s">
        <v>325</v>
      </c>
      <c r="J3" t="s">
        <v>326</v>
      </c>
      <c r="K3" s="2">
        <v>45908</v>
      </c>
      <c r="L3" t="s">
        <v>102</v>
      </c>
      <c r="M3">
        <v>361</v>
      </c>
    </row>
    <row r="4" spans="1:13">
      <c r="A4" t="s">
        <v>321</v>
      </c>
      <c r="B4" t="s">
        <v>4</v>
      </c>
      <c r="C4" t="s">
        <v>322</v>
      </c>
      <c r="D4" t="s">
        <v>327</v>
      </c>
      <c r="F4">
        <v>58</v>
      </c>
      <c r="G4" t="s">
        <v>164</v>
      </c>
      <c r="H4">
        <v>46</v>
      </c>
      <c r="I4" s="58" t="s">
        <v>328</v>
      </c>
      <c r="J4" t="s">
        <v>329</v>
      </c>
      <c r="K4" s="2">
        <v>45908</v>
      </c>
      <c r="L4" t="s">
        <v>330</v>
      </c>
      <c r="M4">
        <v>1313</v>
      </c>
    </row>
    <row r="5" spans="1:13">
      <c r="A5" t="s">
        <v>321</v>
      </c>
      <c r="B5" t="s">
        <v>331</v>
      </c>
      <c r="C5" t="s">
        <v>332</v>
      </c>
      <c r="D5" t="s">
        <v>263</v>
      </c>
      <c r="E5" t="s">
        <v>333</v>
      </c>
      <c r="F5">
        <v>91</v>
      </c>
      <c r="G5" t="s">
        <v>330</v>
      </c>
      <c r="H5">
        <v>32</v>
      </c>
      <c r="I5">
        <v>100565524</v>
      </c>
      <c r="J5" t="s">
        <v>334</v>
      </c>
      <c r="K5" s="2">
        <v>45908</v>
      </c>
      <c r="L5" t="s">
        <v>112</v>
      </c>
      <c r="M5">
        <v>262</v>
      </c>
    </row>
    <row r="6" spans="1:13">
      <c r="A6" t="s">
        <v>321</v>
      </c>
      <c r="B6" t="s">
        <v>4</v>
      </c>
      <c r="C6" t="s">
        <v>255</v>
      </c>
      <c r="D6" t="s">
        <v>270</v>
      </c>
      <c r="E6">
        <v>13</v>
      </c>
      <c r="F6">
        <v>57</v>
      </c>
      <c r="G6" t="s">
        <v>335</v>
      </c>
      <c r="H6">
        <v>74</v>
      </c>
      <c r="I6">
        <v>100566560</v>
      </c>
      <c r="J6" t="s">
        <v>336</v>
      </c>
      <c r="K6" s="2">
        <v>45908</v>
      </c>
      <c r="L6" t="s">
        <v>157</v>
      </c>
      <c r="M6">
        <v>291</v>
      </c>
    </row>
    <row r="7" spans="1:13">
      <c r="A7" t="s">
        <v>321</v>
      </c>
      <c r="B7" t="s">
        <v>331</v>
      </c>
      <c r="C7" t="s">
        <v>337</v>
      </c>
      <c r="D7" t="s">
        <v>270</v>
      </c>
      <c r="E7" t="s">
        <v>338</v>
      </c>
      <c r="F7">
        <v>30</v>
      </c>
      <c r="G7" t="s">
        <v>339</v>
      </c>
      <c r="H7">
        <v>416</v>
      </c>
      <c r="I7">
        <v>100566810</v>
      </c>
      <c r="J7" t="s">
        <v>340</v>
      </c>
      <c r="K7" s="2">
        <v>45908</v>
      </c>
      <c r="L7" t="s">
        <v>200</v>
      </c>
      <c r="M7">
        <v>363</v>
      </c>
    </row>
    <row r="8" spans="1:13">
      <c r="A8" t="s">
        <v>321</v>
      </c>
      <c r="B8" t="s">
        <v>4</v>
      </c>
      <c r="C8" t="s">
        <v>322</v>
      </c>
      <c r="D8" t="s">
        <v>263</v>
      </c>
      <c r="F8">
        <v>52</v>
      </c>
      <c r="G8" t="s">
        <v>140</v>
      </c>
      <c r="H8">
        <v>109</v>
      </c>
      <c r="I8">
        <v>1209</v>
      </c>
      <c r="J8" t="s">
        <v>341</v>
      </c>
      <c r="K8" s="2">
        <v>45908</v>
      </c>
      <c r="L8" t="s">
        <v>193</v>
      </c>
      <c r="M8">
        <v>361</v>
      </c>
    </row>
    <row r="9" spans="1:13">
      <c r="A9" t="s">
        <v>321</v>
      </c>
      <c r="B9" t="s">
        <v>4</v>
      </c>
      <c r="C9" t="s">
        <v>322</v>
      </c>
      <c r="D9" t="s">
        <v>268</v>
      </c>
      <c r="F9">
        <v>49</v>
      </c>
      <c r="G9" t="s">
        <v>132</v>
      </c>
      <c r="H9">
        <v>1</v>
      </c>
      <c r="I9">
        <v>1789</v>
      </c>
      <c r="J9" t="s">
        <v>342</v>
      </c>
      <c r="K9" s="2">
        <v>45908</v>
      </c>
      <c r="L9" t="s">
        <v>154</v>
      </c>
      <c r="M9">
        <v>341</v>
      </c>
    </row>
    <row r="10" spans="1:13">
      <c r="A10" t="s">
        <v>321</v>
      </c>
      <c r="B10" t="s">
        <v>4</v>
      </c>
      <c r="C10" t="s">
        <v>322</v>
      </c>
      <c r="D10" t="s">
        <v>270</v>
      </c>
      <c r="F10">
        <v>77</v>
      </c>
      <c r="G10" t="s">
        <v>162</v>
      </c>
      <c r="H10">
        <v>63</v>
      </c>
      <c r="I10">
        <v>2724</v>
      </c>
      <c r="J10" t="s">
        <v>343</v>
      </c>
      <c r="K10" s="2">
        <v>45908</v>
      </c>
      <c r="L10" t="s">
        <v>125</v>
      </c>
      <c r="M10">
        <v>240</v>
      </c>
    </row>
    <row r="11" spans="1:13">
      <c r="A11" t="s">
        <v>321</v>
      </c>
      <c r="B11" t="s">
        <v>4</v>
      </c>
      <c r="C11" t="s">
        <v>322</v>
      </c>
      <c r="D11" t="s">
        <v>270</v>
      </c>
      <c r="F11">
        <v>79</v>
      </c>
      <c r="G11" t="s">
        <v>159</v>
      </c>
      <c r="H11">
        <v>7</v>
      </c>
      <c r="I11">
        <v>4494</v>
      </c>
      <c r="J11" t="s">
        <v>344</v>
      </c>
      <c r="K11" s="2">
        <v>45908</v>
      </c>
      <c r="L11" t="s">
        <v>132</v>
      </c>
      <c r="M11">
        <v>341</v>
      </c>
    </row>
    <row r="12" spans="1:13">
      <c r="A12" t="s">
        <v>321</v>
      </c>
      <c r="B12" t="s">
        <v>4</v>
      </c>
      <c r="C12" t="s">
        <v>322</v>
      </c>
      <c r="D12" t="s">
        <v>256</v>
      </c>
      <c r="F12">
        <v>55</v>
      </c>
      <c r="G12" t="s">
        <v>152</v>
      </c>
      <c r="H12">
        <v>3</v>
      </c>
      <c r="I12">
        <v>9189</v>
      </c>
      <c r="J12" t="s">
        <v>345</v>
      </c>
      <c r="K12" s="2">
        <v>45908</v>
      </c>
      <c r="L12" t="s">
        <v>185</v>
      </c>
      <c r="M12">
        <v>321</v>
      </c>
    </row>
    <row r="13" spans="1:13">
      <c r="A13" t="s">
        <v>321</v>
      </c>
      <c r="B13" t="s">
        <v>4</v>
      </c>
      <c r="C13" t="s">
        <v>322</v>
      </c>
      <c r="D13" t="s">
        <v>327</v>
      </c>
      <c r="F13">
        <v>59</v>
      </c>
      <c r="G13" t="s">
        <v>166</v>
      </c>
      <c r="H13">
        <v>5</v>
      </c>
      <c r="I13">
        <v>9481</v>
      </c>
      <c r="J13" t="s">
        <v>346</v>
      </c>
      <c r="K13" s="2">
        <v>45908</v>
      </c>
      <c r="L13" t="s">
        <v>181</v>
      </c>
      <c r="M13">
        <v>346</v>
      </c>
    </row>
    <row r="14" spans="1:13">
      <c r="A14" t="s">
        <v>321</v>
      </c>
      <c r="B14" t="s">
        <v>4</v>
      </c>
      <c r="C14" t="s">
        <v>322</v>
      </c>
      <c r="D14" t="s">
        <v>256</v>
      </c>
      <c r="F14">
        <v>65</v>
      </c>
      <c r="G14" t="s">
        <v>182</v>
      </c>
      <c r="H14">
        <v>32</v>
      </c>
      <c r="I14" s="58" t="s">
        <v>323</v>
      </c>
      <c r="J14" t="s">
        <v>324</v>
      </c>
      <c r="K14" s="2">
        <v>45908</v>
      </c>
      <c r="L14" t="s">
        <v>347</v>
      </c>
      <c r="M14">
        <v>588</v>
      </c>
    </row>
    <row r="15" spans="1:13">
      <c r="A15" t="s">
        <v>321</v>
      </c>
      <c r="B15" t="s">
        <v>4</v>
      </c>
      <c r="C15" t="s">
        <v>322</v>
      </c>
      <c r="D15" t="s">
        <v>327</v>
      </c>
      <c r="F15">
        <v>18</v>
      </c>
      <c r="G15" t="s">
        <v>112</v>
      </c>
      <c r="H15">
        <v>109</v>
      </c>
      <c r="I15" s="58" t="s">
        <v>348</v>
      </c>
      <c r="J15" t="s">
        <v>349</v>
      </c>
      <c r="K15" s="2">
        <v>45908</v>
      </c>
      <c r="L15" t="s">
        <v>168</v>
      </c>
      <c r="M15">
        <v>325</v>
      </c>
    </row>
    <row r="16" spans="1:13">
      <c r="A16" t="s">
        <v>321</v>
      </c>
      <c r="B16" t="s">
        <v>4</v>
      </c>
      <c r="C16" t="s">
        <v>255</v>
      </c>
      <c r="D16" t="s">
        <v>270</v>
      </c>
      <c r="E16">
        <v>13</v>
      </c>
      <c r="F16">
        <v>25</v>
      </c>
      <c r="G16" t="s">
        <v>350</v>
      </c>
      <c r="H16">
        <v>5</v>
      </c>
      <c r="I16">
        <v>100565074</v>
      </c>
      <c r="J16" t="s">
        <v>351</v>
      </c>
      <c r="K16" s="2">
        <v>45908</v>
      </c>
      <c r="L16" t="s">
        <v>136</v>
      </c>
      <c r="M16">
        <v>519</v>
      </c>
    </row>
    <row r="17" spans="1:13">
      <c r="A17" t="s">
        <v>321</v>
      </c>
      <c r="B17" t="s">
        <v>4</v>
      </c>
      <c r="C17" t="s">
        <v>255</v>
      </c>
      <c r="D17" t="s">
        <v>256</v>
      </c>
      <c r="E17">
        <v>14</v>
      </c>
      <c r="F17">
        <v>36</v>
      </c>
      <c r="G17" t="s">
        <v>347</v>
      </c>
      <c r="H17">
        <v>76</v>
      </c>
      <c r="I17">
        <v>100565074</v>
      </c>
      <c r="J17" t="s">
        <v>351</v>
      </c>
      <c r="K17" s="2">
        <v>45908</v>
      </c>
      <c r="L17" t="s">
        <v>134</v>
      </c>
      <c r="M17">
        <v>793</v>
      </c>
    </row>
    <row r="18" spans="1:13">
      <c r="A18" t="s">
        <v>321</v>
      </c>
      <c r="B18" t="s">
        <v>331</v>
      </c>
      <c r="C18" t="s">
        <v>332</v>
      </c>
      <c r="D18" t="s">
        <v>327</v>
      </c>
      <c r="E18" t="s">
        <v>352</v>
      </c>
      <c r="F18">
        <v>91</v>
      </c>
      <c r="G18" t="s">
        <v>330</v>
      </c>
      <c r="H18">
        <v>18</v>
      </c>
      <c r="I18">
        <v>100565524</v>
      </c>
      <c r="J18" t="s">
        <v>334</v>
      </c>
      <c r="K18" s="2">
        <v>45908</v>
      </c>
      <c r="L18" t="s">
        <v>159</v>
      </c>
      <c r="M18">
        <v>407</v>
      </c>
    </row>
    <row r="19" spans="1:13">
      <c r="A19" t="s">
        <v>321</v>
      </c>
      <c r="B19" t="s">
        <v>4</v>
      </c>
      <c r="C19" t="s">
        <v>255</v>
      </c>
      <c r="D19" t="s">
        <v>327</v>
      </c>
      <c r="E19">
        <v>14</v>
      </c>
      <c r="F19">
        <v>45</v>
      </c>
      <c r="G19" t="s">
        <v>120</v>
      </c>
      <c r="H19">
        <v>74</v>
      </c>
      <c r="I19">
        <v>100566960</v>
      </c>
      <c r="J19" t="s">
        <v>353</v>
      </c>
      <c r="K19" s="2">
        <v>45908</v>
      </c>
      <c r="L19" t="s">
        <v>188</v>
      </c>
      <c r="M19">
        <v>342</v>
      </c>
    </row>
    <row r="20" spans="1:13">
      <c r="A20" t="s">
        <v>321</v>
      </c>
      <c r="B20" t="s">
        <v>4</v>
      </c>
      <c r="C20" t="s">
        <v>322</v>
      </c>
      <c r="D20" t="s">
        <v>263</v>
      </c>
      <c r="F20">
        <v>75</v>
      </c>
      <c r="G20" t="s">
        <v>354</v>
      </c>
      <c r="H20">
        <v>45</v>
      </c>
      <c r="I20">
        <v>2269</v>
      </c>
      <c r="J20" t="s">
        <v>355</v>
      </c>
      <c r="K20" s="2">
        <v>45908</v>
      </c>
      <c r="L20" t="s">
        <v>120</v>
      </c>
      <c r="M20">
        <v>240</v>
      </c>
    </row>
    <row r="21" spans="1:13">
      <c r="A21" t="s">
        <v>321</v>
      </c>
      <c r="B21" t="s">
        <v>4</v>
      </c>
      <c r="C21" t="s">
        <v>322</v>
      </c>
      <c r="D21" t="s">
        <v>270</v>
      </c>
      <c r="F21">
        <v>42</v>
      </c>
      <c r="G21" t="s">
        <v>102</v>
      </c>
      <c r="H21">
        <v>137</v>
      </c>
      <c r="I21" s="58" t="s">
        <v>325</v>
      </c>
      <c r="J21" t="s">
        <v>326</v>
      </c>
      <c r="K21" s="2">
        <v>45908</v>
      </c>
      <c r="L21" t="s">
        <v>152</v>
      </c>
      <c r="M21">
        <v>341</v>
      </c>
    </row>
    <row r="22" spans="1:13">
      <c r="A22" t="s">
        <v>321</v>
      </c>
      <c r="B22" t="s">
        <v>4</v>
      </c>
      <c r="C22" t="s">
        <v>322</v>
      </c>
      <c r="D22" t="s">
        <v>270</v>
      </c>
      <c r="F22">
        <v>58</v>
      </c>
      <c r="G22" t="s">
        <v>164</v>
      </c>
      <c r="H22">
        <v>78</v>
      </c>
      <c r="I22" s="58" t="s">
        <v>356</v>
      </c>
      <c r="J22" t="s">
        <v>357</v>
      </c>
      <c r="K22" s="2">
        <v>45908</v>
      </c>
      <c r="L22" t="s">
        <v>110</v>
      </c>
      <c r="M22">
        <v>286</v>
      </c>
    </row>
    <row r="23" spans="1:13">
      <c r="A23" t="s">
        <v>321</v>
      </c>
      <c r="B23" t="s">
        <v>4</v>
      </c>
      <c r="C23" t="s">
        <v>322</v>
      </c>
      <c r="D23" t="s">
        <v>263</v>
      </c>
      <c r="E23">
        <v>12</v>
      </c>
      <c r="F23">
        <v>36</v>
      </c>
      <c r="G23" t="s">
        <v>347</v>
      </c>
      <c r="H23">
        <v>7</v>
      </c>
      <c r="I23">
        <v>100565074</v>
      </c>
      <c r="J23" t="s">
        <v>351</v>
      </c>
      <c r="K23" s="2">
        <v>45908</v>
      </c>
      <c r="L23" t="s">
        <v>105</v>
      </c>
      <c r="M23">
        <v>205</v>
      </c>
    </row>
    <row r="24" spans="1:13">
      <c r="A24" t="s">
        <v>321</v>
      </c>
      <c r="B24" t="s">
        <v>4</v>
      </c>
      <c r="C24" t="s">
        <v>322</v>
      </c>
      <c r="D24" t="s">
        <v>263</v>
      </c>
      <c r="E24">
        <v>11</v>
      </c>
      <c r="F24">
        <v>50</v>
      </c>
      <c r="G24" t="s">
        <v>134</v>
      </c>
      <c r="H24">
        <v>104</v>
      </c>
      <c r="I24">
        <v>100565514</v>
      </c>
      <c r="J24" t="s">
        <v>326</v>
      </c>
      <c r="K24" s="2">
        <v>45908</v>
      </c>
      <c r="L24" t="s">
        <v>128</v>
      </c>
      <c r="M24">
        <v>316</v>
      </c>
    </row>
    <row r="25" spans="1:13">
      <c r="A25" t="s">
        <v>321</v>
      </c>
      <c r="B25" t="s">
        <v>331</v>
      </c>
      <c r="C25" t="s">
        <v>332</v>
      </c>
      <c r="D25" t="s">
        <v>268</v>
      </c>
      <c r="E25" t="s">
        <v>333</v>
      </c>
      <c r="F25">
        <v>91</v>
      </c>
      <c r="G25" t="s">
        <v>330</v>
      </c>
      <c r="H25">
        <v>52</v>
      </c>
      <c r="I25">
        <v>100565524</v>
      </c>
      <c r="J25" t="s">
        <v>334</v>
      </c>
      <c r="K25" s="2">
        <v>45908</v>
      </c>
      <c r="L25" t="s">
        <v>354</v>
      </c>
      <c r="M25">
        <v>334</v>
      </c>
    </row>
    <row r="26" spans="1:13">
      <c r="A26" t="s">
        <v>321</v>
      </c>
      <c r="B26" t="s">
        <v>331</v>
      </c>
      <c r="C26" t="s">
        <v>332</v>
      </c>
      <c r="D26" t="s">
        <v>358</v>
      </c>
      <c r="E26" t="s">
        <v>333</v>
      </c>
      <c r="F26">
        <v>91</v>
      </c>
      <c r="G26" t="s">
        <v>330</v>
      </c>
      <c r="H26">
        <v>65</v>
      </c>
      <c r="I26">
        <v>100565524</v>
      </c>
      <c r="J26" t="s">
        <v>334</v>
      </c>
      <c r="K26" s="2">
        <v>45908</v>
      </c>
      <c r="L26" t="s">
        <v>166</v>
      </c>
      <c r="M26">
        <v>325</v>
      </c>
    </row>
    <row r="27" spans="1:13">
      <c r="A27" t="s">
        <v>321</v>
      </c>
      <c r="B27" t="s">
        <v>4</v>
      </c>
      <c r="C27" t="s">
        <v>255</v>
      </c>
      <c r="D27" t="s">
        <v>263</v>
      </c>
      <c r="E27">
        <v>14</v>
      </c>
      <c r="F27">
        <v>57</v>
      </c>
      <c r="G27" t="s">
        <v>335</v>
      </c>
      <c r="H27">
        <v>43</v>
      </c>
      <c r="I27">
        <v>100566560</v>
      </c>
      <c r="J27" t="s">
        <v>336</v>
      </c>
      <c r="K27" s="2">
        <v>45908</v>
      </c>
      <c r="L27" t="s">
        <v>122</v>
      </c>
      <c r="M27">
        <v>262</v>
      </c>
    </row>
    <row r="28" spans="1:13">
      <c r="A28" t="s">
        <v>321</v>
      </c>
      <c r="B28" t="s">
        <v>4</v>
      </c>
      <c r="C28" t="s">
        <v>255</v>
      </c>
      <c r="D28" t="s">
        <v>268</v>
      </c>
      <c r="E28">
        <v>14</v>
      </c>
      <c r="F28">
        <v>45</v>
      </c>
      <c r="G28" t="s">
        <v>120</v>
      </c>
      <c r="H28">
        <v>60</v>
      </c>
      <c r="I28">
        <v>100566960</v>
      </c>
      <c r="J28" t="s">
        <v>353</v>
      </c>
      <c r="K28" s="2">
        <v>45908</v>
      </c>
      <c r="L28" t="s">
        <v>359</v>
      </c>
      <c r="M28">
        <v>247</v>
      </c>
    </row>
    <row r="29" spans="1:13">
      <c r="A29" t="s">
        <v>321</v>
      </c>
      <c r="B29" t="s">
        <v>4</v>
      </c>
      <c r="C29" t="s">
        <v>322</v>
      </c>
      <c r="D29" t="s">
        <v>256</v>
      </c>
      <c r="F29">
        <v>120</v>
      </c>
      <c r="G29" t="s">
        <v>202</v>
      </c>
      <c r="H29">
        <v>126</v>
      </c>
      <c r="I29">
        <v>1393</v>
      </c>
      <c r="J29" t="s">
        <v>360</v>
      </c>
      <c r="K29" s="2">
        <v>45908</v>
      </c>
      <c r="L29" t="s">
        <v>350</v>
      </c>
      <c r="M29">
        <v>588</v>
      </c>
    </row>
    <row r="30" spans="1:13">
      <c r="A30" t="s">
        <v>321</v>
      </c>
      <c r="B30" t="s">
        <v>4</v>
      </c>
      <c r="C30" t="s">
        <v>255</v>
      </c>
      <c r="D30" t="s">
        <v>270</v>
      </c>
      <c r="F30">
        <v>48</v>
      </c>
      <c r="G30" t="s">
        <v>128</v>
      </c>
      <c r="H30">
        <v>23</v>
      </c>
      <c r="I30">
        <v>1789</v>
      </c>
      <c r="J30" t="s">
        <v>342</v>
      </c>
      <c r="K30" s="2">
        <v>45908</v>
      </c>
      <c r="L30" t="s">
        <v>100</v>
      </c>
      <c r="M30">
        <v>342</v>
      </c>
    </row>
    <row r="31" spans="1:13">
      <c r="A31" t="s">
        <v>321</v>
      </c>
      <c r="B31" t="s">
        <v>4</v>
      </c>
      <c r="C31" t="s">
        <v>322</v>
      </c>
      <c r="D31" t="s">
        <v>270</v>
      </c>
      <c r="F31">
        <v>56</v>
      </c>
      <c r="G31" t="s">
        <v>154</v>
      </c>
      <c r="H31">
        <v>66</v>
      </c>
      <c r="I31">
        <v>1789</v>
      </c>
      <c r="J31" t="s">
        <v>342</v>
      </c>
      <c r="K31" s="2">
        <v>45908</v>
      </c>
      <c r="L31" t="s">
        <v>194</v>
      </c>
      <c r="M31">
        <v>361</v>
      </c>
    </row>
    <row r="32" spans="1:13">
      <c r="A32" t="s">
        <v>321</v>
      </c>
      <c r="B32" t="s">
        <v>4</v>
      </c>
      <c r="C32" t="s">
        <v>322</v>
      </c>
      <c r="D32" t="s">
        <v>270</v>
      </c>
      <c r="F32">
        <v>55</v>
      </c>
      <c r="G32" t="s">
        <v>152</v>
      </c>
      <c r="H32">
        <v>66</v>
      </c>
      <c r="I32">
        <v>1789</v>
      </c>
      <c r="J32" t="s">
        <v>342</v>
      </c>
      <c r="K32" s="2">
        <v>45908</v>
      </c>
      <c r="L32" t="s">
        <v>335</v>
      </c>
      <c r="M32">
        <v>286</v>
      </c>
    </row>
    <row r="33" spans="1:13">
      <c r="A33" t="s">
        <v>321</v>
      </c>
      <c r="B33" t="s">
        <v>4</v>
      </c>
      <c r="C33" t="s">
        <v>322</v>
      </c>
      <c r="D33" t="s">
        <v>263</v>
      </c>
      <c r="F33">
        <v>48</v>
      </c>
      <c r="G33" t="s">
        <v>128</v>
      </c>
      <c r="H33">
        <v>45</v>
      </c>
      <c r="I33">
        <v>6921</v>
      </c>
      <c r="J33" t="s">
        <v>361</v>
      </c>
      <c r="K33" s="2">
        <v>45908</v>
      </c>
      <c r="L33" t="s">
        <v>164</v>
      </c>
      <c r="M33">
        <v>439</v>
      </c>
    </row>
    <row r="34" spans="1:13">
      <c r="A34" t="s">
        <v>321</v>
      </c>
      <c r="B34" t="s">
        <v>4</v>
      </c>
      <c r="C34" t="s">
        <v>322</v>
      </c>
      <c r="D34" t="s">
        <v>268</v>
      </c>
      <c r="F34">
        <v>59</v>
      </c>
      <c r="G34" t="s">
        <v>166</v>
      </c>
      <c r="H34">
        <v>4</v>
      </c>
      <c r="I34">
        <v>7736</v>
      </c>
      <c r="J34" t="s">
        <v>362</v>
      </c>
      <c r="K34" s="2">
        <v>45908</v>
      </c>
      <c r="L34" t="s">
        <v>140</v>
      </c>
      <c r="M34">
        <v>345</v>
      </c>
    </row>
    <row r="35" spans="1:13">
      <c r="A35" t="s">
        <v>321</v>
      </c>
      <c r="B35" t="s">
        <v>4</v>
      </c>
      <c r="C35" t="s">
        <v>322</v>
      </c>
      <c r="D35" t="s">
        <v>327</v>
      </c>
      <c r="F35">
        <v>73</v>
      </c>
      <c r="G35" t="s">
        <v>181</v>
      </c>
      <c r="H35">
        <v>14</v>
      </c>
      <c r="I35">
        <v>8528</v>
      </c>
      <c r="J35" t="s">
        <v>363</v>
      </c>
      <c r="K35" s="2">
        <v>45908</v>
      </c>
      <c r="L35" t="s">
        <v>191</v>
      </c>
      <c r="M35">
        <v>342</v>
      </c>
    </row>
    <row r="36" spans="1:13">
      <c r="A36" t="s">
        <v>321</v>
      </c>
      <c r="B36" t="s">
        <v>4</v>
      </c>
      <c r="C36" t="s">
        <v>322</v>
      </c>
      <c r="D36" t="s">
        <v>270</v>
      </c>
      <c r="F36">
        <v>79</v>
      </c>
      <c r="G36" t="s">
        <v>159</v>
      </c>
      <c r="H36">
        <v>7</v>
      </c>
      <c r="I36">
        <v>8792</v>
      </c>
      <c r="J36" t="s">
        <v>364</v>
      </c>
      <c r="K36" s="2">
        <v>45908</v>
      </c>
      <c r="L36" t="s">
        <v>162</v>
      </c>
      <c r="M36">
        <v>407</v>
      </c>
    </row>
    <row r="37" spans="1:13">
      <c r="A37" t="s">
        <v>321</v>
      </c>
      <c r="B37" t="s">
        <v>4</v>
      </c>
      <c r="C37" t="s">
        <v>322</v>
      </c>
      <c r="D37" t="s">
        <v>327</v>
      </c>
      <c r="F37">
        <v>60</v>
      </c>
      <c r="G37" t="s">
        <v>168</v>
      </c>
      <c r="H37">
        <v>7</v>
      </c>
      <c r="I37" s="58" t="s">
        <v>365</v>
      </c>
      <c r="J37" t="s">
        <v>366</v>
      </c>
      <c r="K37" s="2">
        <v>45908</v>
      </c>
      <c r="L37" t="s">
        <v>186</v>
      </c>
      <c r="M37">
        <v>321</v>
      </c>
    </row>
    <row r="38" spans="1:13">
      <c r="A38" t="s">
        <v>321</v>
      </c>
      <c r="B38" t="s">
        <v>4</v>
      </c>
      <c r="C38" t="s">
        <v>322</v>
      </c>
      <c r="D38" t="s">
        <v>268</v>
      </c>
      <c r="F38">
        <v>69</v>
      </c>
      <c r="G38" t="s">
        <v>193</v>
      </c>
      <c r="H38">
        <v>67</v>
      </c>
      <c r="I38" s="58" t="s">
        <v>325</v>
      </c>
      <c r="J38" t="s">
        <v>326</v>
      </c>
      <c r="K38" s="2">
        <v>45908</v>
      </c>
      <c r="L38" t="s">
        <v>182</v>
      </c>
      <c r="M38">
        <v>321</v>
      </c>
    </row>
    <row r="39" spans="1:13">
      <c r="A39" t="s">
        <v>321</v>
      </c>
      <c r="B39" t="s">
        <v>4</v>
      </c>
      <c r="C39" t="s">
        <v>255</v>
      </c>
      <c r="D39" t="s">
        <v>256</v>
      </c>
      <c r="E39">
        <v>14</v>
      </c>
      <c r="F39">
        <v>25</v>
      </c>
      <c r="G39" t="s">
        <v>350</v>
      </c>
      <c r="H39">
        <v>76</v>
      </c>
      <c r="I39">
        <v>100565074</v>
      </c>
      <c r="J39" t="s">
        <v>351</v>
      </c>
      <c r="K39" s="2">
        <v>45908</v>
      </c>
      <c r="L39" t="s">
        <v>178</v>
      </c>
      <c r="M39">
        <v>321</v>
      </c>
    </row>
    <row r="40" spans="1:13">
      <c r="A40" t="s">
        <v>321</v>
      </c>
      <c r="B40" t="s">
        <v>331</v>
      </c>
      <c r="C40" t="s">
        <v>332</v>
      </c>
      <c r="D40" t="s">
        <v>268</v>
      </c>
      <c r="E40" t="s">
        <v>367</v>
      </c>
      <c r="F40">
        <v>91</v>
      </c>
      <c r="G40" t="s">
        <v>330</v>
      </c>
      <c r="H40">
        <v>169</v>
      </c>
      <c r="I40">
        <v>100565524</v>
      </c>
      <c r="J40" t="s">
        <v>334</v>
      </c>
      <c r="K40" s="2">
        <v>45908</v>
      </c>
      <c r="L40" t="s">
        <v>202</v>
      </c>
      <c r="M40">
        <v>333</v>
      </c>
    </row>
    <row r="41" spans="1:13">
      <c r="A41" t="s">
        <v>321</v>
      </c>
      <c r="B41" t="s">
        <v>4</v>
      </c>
      <c r="C41" t="s">
        <v>322</v>
      </c>
      <c r="D41" t="s">
        <v>263</v>
      </c>
      <c r="F41">
        <v>53</v>
      </c>
      <c r="G41" t="s">
        <v>143</v>
      </c>
      <c r="H41">
        <v>21</v>
      </c>
      <c r="I41">
        <v>1789</v>
      </c>
      <c r="J41" t="s">
        <v>342</v>
      </c>
      <c r="K41" s="2">
        <v>45908</v>
      </c>
      <c r="L41" t="s">
        <v>173</v>
      </c>
      <c r="M41">
        <v>441</v>
      </c>
    </row>
    <row r="42" spans="1:13">
      <c r="A42" t="s">
        <v>321</v>
      </c>
      <c r="B42" t="s">
        <v>4</v>
      </c>
      <c r="C42" t="s">
        <v>322</v>
      </c>
      <c r="D42" t="s">
        <v>270</v>
      </c>
      <c r="F42">
        <v>49</v>
      </c>
      <c r="G42" t="s">
        <v>132</v>
      </c>
      <c r="H42">
        <v>66</v>
      </c>
      <c r="I42">
        <v>1789</v>
      </c>
      <c r="J42" t="s">
        <v>342</v>
      </c>
      <c r="K42" s="2">
        <v>45908</v>
      </c>
      <c r="L42" t="s">
        <v>339</v>
      </c>
      <c r="M42">
        <v>836</v>
      </c>
    </row>
    <row r="43" spans="1:13">
      <c r="A43" t="s">
        <v>321</v>
      </c>
      <c r="B43" t="s">
        <v>4</v>
      </c>
      <c r="C43" t="s">
        <v>322</v>
      </c>
      <c r="D43" t="s">
        <v>268</v>
      </c>
      <c r="F43">
        <v>74</v>
      </c>
      <c r="G43" t="s">
        <v>185</v>
      </c>
      <c r="H43">
        <v>17</v>
      </c>
      <c r="I43">
        <v>4494</v>
      </c>
      <c r="J43" t="s">
        <v>344</v>
      </c>
      <c r="K43" s="2">
        <v>45908</v>
      </c>
      <c r="L43" t="s">
        <v>265</v>
      </c>
      <c r="M43">
        <v>16069</v>
      </c>
    </row>
    <row r="44" spans="1:11">
      <c r="A44" t="s">
        <v>321</v>
      </c>
      <c r="B44" t="s">
        <v>4</v>
      </c>
      <c r="C44" t="s">
        <v>322</v>
      </c>
      <c r="D44" t="s">
        <v>327</v>
      </c>
      <c r="F44">
        <v>48</v>
      </c>
      <c r="G44" t="s">
        <v>128</v>
      </c>
      <c r="H44">
        <v>36</v>
      </c>
      <c r="I44">
        <v>6921</v>
      </c>
      <c r="J44" t="s">
        <v>361</v>
      </c>
      <c r="K44" s="2">
        <v>45908</v>
      </c>
    </row>
    <row r="45" spans="1:11">
      <c r="A45" t="s">
        <v>321</v>
      </c>
      <c r="B45" t="s">
        <v>4</v>
      </c>
      <c r="C45" t="s">
        <v>322</v>
      </c>
      <c r="D45" t="s">
        <v>327</v>
      </c>
      <c r="F45">
        <v>49</v>
      </c>
      <c r="G45" t="s">
        <v>132</v>
      </c>
      <c r="H45">
        <v>60</v>
      </c>
      <c r="I45">
        <v>9189</v>
      </c>
      <c r="J45" t="s">
        <v>345</v>
      </c>
      <c r="K45" s="2">
        <v>45908</v>
      </c>
    </row>
    <row r="46" spans="1:11">
      <c r="A46" t="s">
        <v>321</v>
      </c>
      <c r="B46" t="s">
        <v>4</v>
      </c>
      <c r="C46" t="s">
        <v>322</v>
      </c>
      <c r="D46" t="s">
        <v>270</v>
      </c>
      <c r="F46">
        <v>79</v>
      </c>
      <c r="G46" t="s">
        <v>159</v>
      </c>
      <c r="H46">
        <v>16</v>
      </c>
      <c r="I46" s="58" t="s">
        <v>368</v>
      </c>
      <c r="J46" t="s">
        <v>369</v>
      </c>
      <c r="K46" s="2">
        <v>45908</v>
      </c>
    </row>
    <row r="47" spans="1:11">
      <c r="A47" t="s">
        <v>321</v>
      </c>
      <c r="B47" t="s">
        <v>4</v>
      </c>
      <c r="C47" t="s">
        <v>322</v>
      </c>
      <c r="D47" t="s">
        <v>256</v>
      </c>
      <c r="F47">
        <v>59</v>
      </c>
      <c r="G47" t="s">
        <v>166</v>
      </c>
      <c r="H47">
        <v>5</v>
      </c>
      <c r="I47" s="58" t="s">
        <v>365</v>
      </c>
      <c r="J47" t="s">
        <v>366</v>
      </c>
      <c r="K47" s="2">
        <v>45908</v>
      </c>
    </row>
    <row r="48" spans="1:11">
      <c r="A48" t="s">
        <v>321</v>
      </c>
      <c r="B48" t="s">
        <v>4</v>
      </c>
      <c r="C48" t="s">
        <v>322</v>
      </c>
      <c r="D48" t="s">
        <v>256</v>
      </c>
      <c r="F48">
        <v>58</v>
      </c>
      <c r="G48" t="s">
        <v>164</v>
      </c>
      <c r="H48">
        <v>34</v>
      </c>
      <c r="I48" s="58" t="s">
        <v>328</v>
      </c>
      <c r="J48" t="s">
        <v>329</v>
      </c>
      <c r="K48" s="2">
        <v>45908</v>
      </c>
    </row>
    <row r="49" spans="1:11">
      <c r="A49" t="s">
        <v>321</v>
      </c>
      <c r="B49" t="s">
        <v>4</v>
      </c>
      <c r="C49" t="s">
        <v>255</v>
      </c>
      <c r="D49" t="s">
        <v>268</v>
      </c>
      <c r="E49">
        <v>14</v>
      </c>
      <c r="F49">
        <v>41</v>
      </c>
      <c r="G49" t="s">
        <v>359</v>
      </c>
      <c r="H49">
        <v>16</v>
      </c>
      <c r="I49">
        <v>100565416</v>
      </c>
      <c r="J49" t="s">
        <v>370</v>
      </c>
      <c r="K49" s="2">
        <v>45908</v>
      </c>
    </row>
    <row r="50" spans="1:11">
      <c r="A50" t="s">
        <v>321</v>
      </c>
      <c r="B50" t="s">
        <v>4</v>
      </c>
      <c r="C50" t="s">
        <v>322</v>
      </c>
      <c r="D50" t="s">
        <v>270</v>
      </c>
      <c r="E50">
        <v>5</v>
      </c>
      <c r="F50">
        <v>50</v>
      </c>
      <c r="G50" t="s">
        <v>134</v>
      </c>
      <c r="H50">
        <v>32</v>
      </c>
      <c r="I50">
        <v>100565514</v>
      </c>
      <c r="J50" t="s">
        <v>326</v>
      </c>
      <c r="K50" s="2">
        <v>45908</v>
      </c>
    </row>
    <row r="51" spans="1:11">
      <c r="A51" t="s">
        <v>321</v>
      </c>
      <c r="B51" t="s">
        <v>4</v>
      </c>
      <c r="C51" t="s">
        <v>322</v>
      </c>
      <c r="D51" t="s">
        <v>327</v>
      </c>
      <c r="F51">
        <v>53</v>
      </c>
      <c r="G51" t="s">
        <v>143</v>
      </c>
      <c r="H51">
        <v>34</v>
      </c>
      <c r="I51">
        <v>1789</v>
      </c>
      <c r="J51" t="s">
        <v>342</v>
      </c>
      <c r="K51" s="2">
        <v>45908</v>
      </c>
    </row>
    <row r="52" spans="1:11">
      <c r="A52" t="s">
        <v>321</v>
      </c>
      <c r="B52" t="s">
        <v>4</v>
      </c>
      <c r="C52" t="s">
        <v>322</v>
      </c>
      <c r="D52" t="s">
        <v>270</v>
      </c>
      <c r="F52">
        <v>66</v>
      </c>
      <c r="G52" t="s">
        <v>186</v>
      </c>
      <c r="H52">
        <v>1</v>
      </c>
      <c r="I52">
        <v>2724</v>
      </c>
      <c r="J52" t="s">
        <v>343</v>
      </c>
      <c r="K52" s="2">
        <v>45908</v>
      </c>
    </row>
    <row r="53" spans="1:11">
      <c r="A53" t="s">
        <v>321</v>
      </c>
      <c r="B53" t="s">
        <v>4</v>
      </c>
      <c r="C53" t="s">
        <v>322</v>
      </c>
      <c r="D53" t="s">
        <v>256</v>
      </c>
      <c r="F53">
        <v>61</v>
      </c>
      <c r="G53" t="s">
        <v>173</v>
      </c>
      <c r="H53">
        <v>39</v>
      </c>
      <c r="I53">
        <v>4808</v>
      </c>
      <c r="J53" t="s">
        <v>371</v>
      </c>
      <c r="K53" s="2">
        <v>45908</v>
      </c>
    </row>
    <row r="54" spans="1:11">
      <c r="A54" t="s">
        <v>321</v>
      </c>
      <c r="B54" t="s">
        <v>4</v>
      </c>
      <c r="C54" t="s">
        <v>322</v>
      </c>
      <c r="D54" t="s">
        <v>263</v>
      </c>
      <c r="F54">
        <v>49</v>
      </c>
      <c r="G54" t="s">
        <v>132</v>
      </c>
      <c r="H54">
        <v>51</v>
      </c>
      <c r="I54">
        <v>9189</v>
      </c>
      <c r="J54" t="s">
        <v>345</v>
      </c>
      <c r="K54" s="2">
        <v>45908</v>
      </c>
    </row>
    <row r="55" spans="1:11">
      <c r="A55" t="s">
        <v>321</v>
      </c>
      <c r="B55" t="s">
        <v>4</v>
      </c>
      <c r="C55" t="s">
        <v>322</v>
      </c>
      <c r="D55" t="s">
        <v>270</v>
      </c>
      <c r="F55">
        <v>60</v>
      </c>
      <c r="G55" t="s">
        <v>168</v>
      </c>
      <c r="H55">
        <v>18</v>
      </c>
      <c r="I55" s="58" t="s">
        <v>365</v>
      </c>
      <c r="J55" t="s">
        <v>366</v>
      </c>
      <c r="K55" s="2">
        <v>45908</v>
      </c>
    </row>
    <row r="56" spans="1:11">
      <c r="A56" t="s">
        <v>321</v>
      </c>
      <c r="B56" t="s">
        <v>4</v>
      </c>
      <c r="C56" t="s">
        <v>322</v>
      </c>
      <c r="D56" t="s">
        <v>256</v>
      </c>
      <c r="F56">
        <v>69</v>
      </c>
      <c r="G56" t="s">
        <v>193</v>
      </c>
      <c r="H56">
        <v>87</v>
      </c>
      <c r="I56" s="58" t="s">
        <v>325</v>
      </c>
      <c r="J56" t="s">
        <v>326</v>
      </c>
      <c r="K56" s="2">
        <v>45908</v>
      </c>
    </row>
    <row r="57" spans="1:11">
      <c r="A57" t="s">
        <v>321</v>
      </c>
      <c r="B57" t="s">
        <v>4</v>
      </c>
      <c r="C57" t="s">
        <v>322</v>
      </c>
      <c r="D57" t="s">
        <v>256</v>
      </c>
      <c r="F57">
        <v>59</v>
      </c>
      <c r="G57" t="s">
        <v>166</v>
      </c>
      <c r="H57">
        <v>7</v>
      </c>
      <c r="I57">
        <v>3575</v>
      </c>
      <c r="J57" t="s">
        <v>372</v>
      </c>
      <c r="K57" s="2">
        <v>45908</v>
      </c>
    </row>
    <row r="58" spans="1:11">
      <c r="A58" t="s">
        <v>321</v>
      </c>
      <c r="B58" t="s">
        <v>4</v>
      </c>
      <c r="C58" t="s">
        <v>322</v>
      </c>
      <c r="D58" t="s">
        <v>270</v>
      </c>
      <c r="F58">
        <v>58</v>
      </c>
      <c r="G58" t="s">
        <v>164</v>
      </c>
      <c r="H58">
        <v>2</v>
      </c>
      <c r="I58">
        <v>4776</v>
      </c>
      <c r="J58" t="s">
        <v>373</v>
      </c>
      <c r="K58" s="2">
        <v>45908</v>
      </c>
    </row>
    <row r="59" spans="1:11">
      <c r="A59" t="s">
        <v>321</v>
      </c>
      <c r="B59" t="s">
        <v>4</v>
      </c>
      <c r="C59" t="s">
        <v>322</v>
      </c>
      <c r="D59" t="s">
        <v>270</v>
      </c>
      <c r="F59">
        <v>61</v>
      </c>
      <c r="G59" t="s">
        <v>173</v>
      </c>
      <c r="H59">
        <v>69</v>
      </c>
      <c r="I59">
        <v>4808</v>
      </c>
      <c r="J59" t="s">
        <v>371</v>
      </c>
      <c r="K59" s="2">
        <v>45908</v>
      </c>
    </row>
    <row r="60" spans="1:11">
      <c r="A60" t="s">
        <v>321</v>
      </c>
      <c r="B60" t="s">
        <v>4</v>
      </c>
      <c r="C60" t="s">
        <v>322</v>
      </c>
      <c r="D60" t="s">
        <v>327</v>
      </c>
      <c r="F60">
        <v>77</v>
      </c>
      <c r="G60" t="s">
        <v>162</v>
      </c>
      <c r="H60">
        <v>25</v>
      </c>
      <c r="I60">
        <v>6099</v>
      </c>
      <c r="J60" t="s">
        <v>374</v>
      </c>
      <c r="K60" s="2">
        <v>45908</v>
      </c>
    </row>
    <row r="61" spans="1:11">
      <c r="A61" t="s">
        <v>321</v>
      </c>
      <c r="B61" t="s">
        <v>4</v>
      </c>
      <c r="C61" t="s">
        <v>322</v>
      </c>
      <c r="D61" t="s">
        <v>256</v>
      </c>
      <c r="F61">
        <v>48</v>
      </c>
      <c r="G61" t="s">
        <v>128</v>
      </c>
      <c r="H61">
        <v>2</v>
      </c>
      <c r="I61">
        <v>6872</v>
      </c>
      <c r="J61" t="s">
        <v>375</v>
      </c>
      <c r="K61" s="2">
        <v>45908</v>
      </c>
    </row>
    <row r="62" spans="1:11">
      <c r="A62" t="s">
        <v>321</v>
      </c>
      <c r="B62" t="s">
        <v>4</v>
      </c>
      <c r="C62" t="s">
        <v>322</v>
      </c>
      <c r="D62" t="s">
        <v>268</v>
      </c>
      <c r="F62">
        <v>67</v>
      </c>
      <c r="G62" t="s">
        <v>188</v>
      </c>
      <c r="H62">
        <v>27</v>
      </c>
      <c r="I62">
        <v>8792</v>
      </c>
      <c r="J62" t="s">
        <v>364</v>
      </c>
      <c r="K62" s="2">
        <v>45908</v>
      </c>
    </row>
    <row r="63" spans="1:11">
      <c r="A63" t="s">
        <v>321</v>
      </c>
      <c r="B63" t="s">
        <v>4</v>
      </c>
      <c r="C63" t="s">
        <v>322</v>
      </c>
      <c r="D63" t="s">
        <v>268</v>
      </c>
      <c r="F63">
        <v>29</v>
      </c>
      <c r="G63" t="s">
        <v>100</v>
      </c>
      <c r="H63">
        <v>27</v>
      </c>
      <c r="I63">
        <v>8792</v>
      </c>
      <c r="J63" t="s">
        <v>364</v>
      </c>
      <c r="K63" s="2">
        <v>45908</v>
      </c>
    </row>
    <row r="64" spans="1:11">
      <c r="A64" t="s">
        <v>321</v>
      </c>
      <c r="B64" t="s">
        <v>4</v>
      </c>
      <c r="C64" t="s">
        <v>322</v>
      </c>
      <c r="D64" t="s">
        <v>327</v>
      </c>
      <c r="F64">
        <v>56</v>
      </c>
      <c r="G64" t="s">
        <v>154</v>
      </c>
      <c r="H64">
        <v>60</v>
      </c>
      <c r="I64">
        <v>9189</v>
      </c>
      <c r="J64" t="s">
        <v>345</v>
      </c>
      <c r="K64" s="2">
        <v>45908</v>
      </c>
    </row>
    <row r="65" spans="1:11">
      <c r="A65" t="s">
        <v>321</v>
      </c>
      <c r="B65" t="s">
        <v>4</v>
      </c>
      <c r="C65" t="s">
        <v>322</v>
      </c>
      <c r="D65" t="s">
        <v>268</v>
      </c>
      <c r="F65">
        <v>49</v>
      </c>
      <c r="G65" t="s">
        <v>132</v>
      </c>
      <c r="H65">
        <v>2</v>
      </c>
      <c r="I65">
        <v>9189</v>
      </c>
      <c r="J65" t="s">
        <v>345</v>
      </c>
      <c r="K65" s="2">
        <v>45908</v>
      </c>
    </row>
    <row r="66" spans="1:11">
      <c r="A66" t="s">
        <v>321</v>
      </c>
      <c r="B66" t="s">
        <v>4</v>
      </c>
      <c r="C66" t="s">
        <v>322</v>
      </c>
      <c r="D66" t="s">
        <v>270</v>
      </c>
      <c r="F66">
        <v>59</v>
      </c>
      <c r="G66" t="s">
        <v>166</v>
      </c>
      <c r="H66">
        <v>35</v>
      </c>
      <c r="I66">
        <v>9481</v>
      </c>
      <c r="J66" t="s">
        <v>346</v>
      </c>
      <c r="K66" s="2">
        <v>45908</v>
      </c>
    </row>
    <row r="67" spans="1:11">
      <c r="A67" t="s">
        <v>321</v>
      </c>
      <c r="B67" t="s">
        <v>4</v>
      </c>
      <c r="C67" t="s">
        <v>322</v>
      </c>
      <c r="D67" t="s">
        <v>263</v>
      </c>
      <c r="F67">
        <v>74</v>
      </c>
      <c r="G67" t="s">
        <v>185</v>
      </c>
      <c r="H67">
        <v>50</v>
      </c>
      <c r="I67" s="58" t="s">
        <v>323</v>
      </c>
      <c r="J67" t="s">
        <v>324</v>
      </c>
      <c r="K67" s="2">
        <v>45908</v>
      </c>
    </row>
    <row r="68" spans="1:11">
      <c r="A68" t="s">
        <v>321</v>
      </c>
      <c r="B68" t="s">
        <v>4</v>
      </c>
      <c r="C68" t="s">
        <v>322</v>
      </c>
      <c r="D68" t="s">
        <v>263</v>
      </c>
      <c r="F68">
        <v>27</v>
      </c>
      <c r="G68" t="s">
        <v>157</v>
      </c>
      <c r="H68">
        <v>96</v>
      </c>
      <c r="I68" s="58" t="s">
        <v>376</v>
      </c>
      <c r="J68" t="s">
        <v>377</v>
      </c>
      <c r="K68" s="2">
        <v>45908</v>
      </c>
    </row>
    <row r="69" spans="1:11">
      <c r="A69" t="s">
        <v>321</v>
      </c>
      <c r="B69" t="s">
        <v>4</v>
      </c>
      <c r="C69" t="s">
        <v>322</v>
      </c>
      <c r="D69" t="s">
        <v>327</v>
      </c>
      <c r="F69">
        <v>27</v>
      </c>
      <c r="G69" t="s">
        <v>157</v>
      </c>
      <c r="H69">
        <v>111</v>
      </c>
      <c r="I69" s="58" t="s">
        <v>376</v>
      </c>
      <c r="J69" t="s">
        <v>377</v>
      </c>
      <c r="K69" s="2">
        <v>45908</v>
      </c>
    </row>
    <row r="70" spans="1:11">
      <c r="A70" t="s">
        <v>321</v>
      </c>
      <c r="B70" t="s">
        <v>4</v>
      </c>
      <c r="C70" t="s">
        <v>255</v>
      </c>
      <c r="D70" t="s">
        <v>270</v>
      </c>
      <c r="E70">
        <v>14</v>
      </c>
      <c r="F70">
        <v>39</v>
      </c>
      <c r="G70" t="s">
        <v>105</v>
      </c>
      <c r="H70">
        <v>102</v>
      </c>
      <c r="I70">
        <v>100566810</v>
      </c>
      <c r="J70" t="s">
        <v>340</v>
      </c>
      <c r="K70" s="2">
        <v>45908</v>
      </c>
    </row>
    <row r="71" spans="1:11">
      <c r="A71" t="s">
        <v>321</v>
      </c>
      <c r="B71" t="s">
        <v>4</v>
      </c>
      <c r="C71" t="s">
        <v>322</v>
      </c>
      <c r="D71" t="s">
        <v>270</v>
      </c>
      <c r="F71">
        <v>79</v>
      </c>
      <c r="G71" t="s">
        <v>159</v>
      </c>
      <c r="H71">
        <v>5</v>
      </c>
      <c r="I71">
        <v>1209</v>
      </c>
      <c r="J71" t="s">
        <v>341</v>
      </c>
      <c r="K71" s="2">
        <v>45908</v>
      </c>
    </row>
    <row r="72" spans="1:11">
      <c r="A72" t="s">
        <v>321</v>
      </c>
      <c r="B72" t="s">
        <v>4</v>
      </c>
      <c r="C72" t="s">
        <v>322</v>
      </c>
      <c r="D72" t="s">
        <v>263</v>
      </c>
      <c r="F72">
        <v>59</v>
      </c>
      <c r="G72" t="s">
        <v>166</v>
      </c>
      <c r="H72">
        <v>10</v>
      </c>
      <c r="I72">
        <v>3575</v>
      </c>
      <c r="J72" t="s">
        <v>372</v>
      </c>
      <c r="K72" s="2">
        <v>45908</v>
      </c>
    </row>
    <row r="73" spans="1:11">
      <c r="A73" t="s">
        <v>321</v>
      </c>
      <c r="B73" t="s">
        <v>4</v>
      </c>
      <c r="C73" t="s">
        <v>322</v>
      </c>
      <c r="D73" t="s">
        <v>256</v>
      </c>
      <c r="F73">
        <v>61</v>
      </c>
      <c r="G73" t="s">
        <v>173</v>
      </c>
      <c r="H73">
        <v>31</v>
      </c>
      <c r="I73">
        <v>4776</v>
      </c>
      <c r="J73" t="s">
        <v>373</v>
      </c>
      <c r="K73" s="2">
        <v>45908</v>
      </c>
    </row>
    <row r="74" spans="1:11">
      <c r="A74" t="s">
        <v>321</v>
      </c>
      <c r="B74" t="s">
        <v>4</v>
      </c>
      <c r="C74" t="s">
        <v>322</v>
      </c>
      <c r="D74" t="s">
        <v>256</v>
      </c>
      <c r="F74">
        <v>59</v>
      </c>
      <c r="G74" t="s">
        <v>166</v>
      </c>
      <c r="H74">
        <v>6</v>
      </c>
      <c r="I74">
        <v>7736</v>
      </c>
      <c r="J74" t="s">
        <v>362</v>
      </c>
      <c r="K74" s="2">
        <v>45908</v>
      </c>
    </row>
    <row r="75" spans="1:11">
      <c r="A75" t="s">
        <v>321</v>
      </c>
      <c r="B75" t="s">
        <v>4</v>
      </c>
      <c r="C75" t="s">
        <v>322</v>
      </c>
      <c r="D75" t="s">
        <v>263</v>
      </c>
      <c r="F75">
        <v>68</v>
      </c>
      <c r="G75" t="s">
        <v>191</v>
      </c>
      <c r="H75">
        <v>39</v>
      </c>
      <c r="I75">
        <v>8792</v>
      </c>
      <c r="J75" t="s">
        <v>364</v>
      </c>
      <c r="K75" s="2">
        <v>45908</v>
      </c>
    </row>
    <row r="76" spans="1:11">
      <c r="A76" t="s">
        <v>321</v>
      </c>
      <c r="B76" t="s">
        <v>4</v>
      </c>
      <c r="C76" t="s">
        <v>322</v>
      </c>
      <c r="D76" t="s">
        <v>268</v>
      </c>
      <c r="F76">
        <v>68</v>
      </c>
      <c r="G76" t="s">
        <v>191</v>
      </c>
      <c r="H76">
        <v>27</v>
      </c>
      <c r="I76">
        <v>8792</v>
      </c>
      <c r="J76" t="s">
        <v>364</v>
      </c>
      <c r="K76" s="2">
        <v>45908</v>
      </c>
    </row>
    <row r="77" spans="1:11">
      <c r="A77" t="s">
        <v>321</v>
      </c>
      <c r="B77" t="s">
        <v>4</v>
      </c>
      <c r="C77" t="s">
        <v>322</v>
      </c>
      <c r="D77" t="s">
        <v>263</v>
      </c>
      <c r="F77">
        <v>55</v>
      </c>
      <c r="G77" t="s">
        <v>152</v>
      </c>
      <c r="H77">
        <v>51</v>
      </c>
      <c r="I77">
        <v>9189</v>
      </c>
      <c r="J77" t="s">
        <v>345</v>
      </c>
      <c r="K77" s="2">
        <v>45908</v>
      </c>
    </row>
    <row r="78" spans="1:11">
      <c r="A78" t="s">
        <v>321</v>
      </c>
      <c r="B78" t="s">
        <v>4</v>
      </c>
      <c r="C78" t="s">
        <v>322</v>
      </c>
      <c r="D78" t="s">
        <v>270</v>
      </c>
      <c r="F78">
        <v>49</v>
      </c>
      <c r="G78" t="s">
        <v>132</v>
      </c>
      <c r="H78">
        <v>48</v>
      </c>
      <c r="I78">
        <v>9189</v>
      </c>
      <c r="J78" t="s">
        <v>345</v>
      </c>
      <c r="K78" s="2">
        <v>45908</v>
      </c>
    </row>
    <row r="79" spans="1:11">
      <c r="A79" t="s">
        <v>321</v>
      </c>
      <c r="B79" t="s">
        <v>4</v>
      </c>
      <c r="C79" t="s">
        <v>322</v>
      </c>
      <c r="D79" t="s">
        <v>256</v>
      </c>
      <c r="F79">
        <v>59</v>
      </c>
      <c r="G79" t="s">
        <v>166</v>
      </c>
      <c r="H79">
        <v>10</v>
      </c>
      <c r="I79" s="58" t="s">
        <v>378</v>
      </c>
      <c r="J79" t="s">
        <v>379</v>
      </c>
      <c r="K79" s="2">
        <v>45908</v>
      </c>
    </row>
    <row r="80" spans="1:11">
      <c r="A80" t="s">
        <v>321</v>
      </c>
      <c r="B80" t="s">
        <v>4</v>
      </c>
      <c r="C80" t="s">
        <v>322</v>
      </c>
      <c r="D80" t="s">
        <v>263</v>
      </c>
      <c r="F80">
        <v>65</v>
      </c>
      <c r="G80" t="s">
        <v>182</v>
      </c>
      <c r="H80">
        <v>50</v>
      </c>
      <c r="I80" s="58" t="s">
        <v>323</v>
      </c>
      <c r="J80" t="s">
        <v>324</v>
      </c>
      <c r="K80" s="2">
        <v>45908</v>
      </c>
    </row>
    <row r="81" spans="1:11">
      <c r="A81" t="s">
        <v>321</v>
      </c>
      <c r="B81" t="s">
        <v>4</v>
      </c>
      <c r="C81" t="s">
        <v>322</v>
      </c>
      <c r="D81" t="s">
        <v>327</v>
      </c>
      <c r="F81">
        <v>74</v>
      </c>
      <c r="G81" t="s">
        <v>185</v>
      </c>
      <c r="H81">
        <v>6</v>
      </c>
      <c r="I81" s="58" t="s">
        <v>323</v>
      </c>
      <c r="J81" t="s">
        <v>324</v>
      </c>
      <c r="K81" s="2">
        <v>45908</v>
      </c>
    </row>
    <row r="82" spans="1:11">
      <c r="A82" t="s">
        <v>321</v>
      </c>
      <c r="B82" t="s">
        <v>4</v>
      </c>
      <c r="C82" t="s">
        <v>322</v>
      </c>
      <c r="D82" t="s">
        <v>327</v>
      </c>
      <c r="F82">
        <v>64</v>
      </c>
      <c r="G82" t="s">
        <v>178</v>
      </c>
      <c r="H82">
        <v>6</v>
      </c>
      <c r="I82" s="58" t="s">
        <v>323</v>
      </c>
      <c r="J82" t="s">
        <v>324</v>
      </c>
      <c r="K82" s="2">
        <v>45908</v>
      </c>
    </row>
    <row r="83" spans="1:11">
      <c r="A83" t="s">
        <v>321</v>
      </c>
      <c r="B83" t="s">
        <v>4</v>
      </c>
      <c r="C83" t="s">
        <v>322</v>
      </c>
      <c r="D83" t="s">
        <v>268</v>
      </c>
      <c r="F83">
        <v>60</v>
      </c>
      <c r="G83" t="s">
        <v>168</v>
      </c>
      <c r="H83">
        <v>5</v>
      </c>
      <c r="I83" s="58" t="s">
        <v>365</v>
      </c>
      <c r="J83" t="s">
        <v>366</v>
      </c>
      <c r="K83" s="2">
        <v>45908</v>
      </c>
    </row>
    <row r="84" spans="1:11">
      <c r="A84" t="s">
        <v>321</v>
      </c>
      <c r="B84" t="s">
        <v>4</v>
      </c>
      <c r="C84" t="s">
        <v>322</v>
      </c>
      <c r="D84" t="s">
        <v>268</v>
      </c>
      <c r="F84">
        <v>58</v>
      </c>
      <c r="G84" t="s">
        <v>164</v>
      </c>
      <c r="H84">
        <v>4</v>
      </c>
      <c r="I84" s="58" t="s">
        <v>356</v>
      </c>
      <c r="J84" t="s">
        <v>357</v>
      </c>
      <c r="K84" s="2">
        <v>45908</v>
      </c>
    </row>
    <row r="85" spans="1:11">
      <c r="A85" t="s">
        <v>321</v>
      </c>
      <c r="B85" t="s">
        <v>4</v>
      </c>
      <c r="C85" t="s">
        <v>255</v>
      </c>
      <c r="D85" t="s">
        <v>327</v>
      </c>
      <c r="E85">
        <v>15</v>
      </c>
      <c r="F85">
        <v>50</v>
      </c>
      <c r="G85" t="s">
        <v>134</v>
      </c>
      <c r="H85">
        <v>103</v>
      </c>
      <c r="I85">
        <v>100563997</v>
      </c>
      <c r="J85" t="s">
        <v>380</v>
      </c>
      <c r="K85" s="2">
        <v>45908</v>
      </c>
    </row>
    <row r="86" spans="1:11">
      <c r="A86" t="s">
        <v>321</v>
      </c>
      <c r="B86" t="s">
        <v>4</v>
      </c>
      <c r="C86" t="s">
        <v>255</v>
      </c>
      <c r="D86" t="s">
        <v>270</v>
      </c>
      <c r="E86">
        <v>13</v>
      </c>
      <c r="F86">
        <v>36</v>
      </c>
      <c r="G86" t="s">
        <v>347</v>
      </c>
      <c r="H86">
        <v>5</v>
      </c>
      <c r="I86">
        <v>100565074</v>
      </c>
      <c r="J86" t="s">
        <v>351</v>
      </c>
      <c r="K86" s="2">
        <v>45908</v>
      </c>
    </row>
    <row r="87" spans="1:11">
      <c r="A87" t="s">
        <v>321</v>
      </c>
      <c r="B87" t="s">
        <v>4</v>
      </c>
      <c r="C87" t="s">
        <v>255</v>
      </c>
      <c r="D87" t="s">
        <v>270</v>
      </c>
      <c r="E87">
        <v>13</v>
      </c>
      <c r="F87">
        <v>45</v>
      </c>
      <c r="G87" t="s">
        <v>120</v>
      </c>
      <c r="H87">
        <v>54</v>
      </c>
      <c r="I87">
        <v>100566960</v>
      </c>
      <c r="J87" t="s">
        <v>353</v>
      </c>
      <c r="K87" s="2">
        <v>45908</v>
      </c>
    </row>
    <row r="88" spans="1:11">
      <c r="A88" t="s">
        <v>321</v>
      </c>
      <c r="B88" t="s">
        <v>4</v>
      </c>
      <c r="C88" t="s">
        <v>322</v>
      </c>
      <c r="D88" t="s">
        <v>263</v>
      </c>
      <c r="F88">
        <v>66</v>
      </c>
      <c r="G88" t="s">
        <v>186</v>
      </c>
      <c r="H88">
        <v>50</v>
      </c>
      <c r="I88" s="58" t="s">
        <v>323</v>
      </c>
      <c r="J88" t="s">
        <v>324</v>
      </c>
      <c r="K88" s="2">
        <v>45908</v>
      </c>
    </row>
    <row r="89" spans="1:11">
      <c r="A89" t="s">
        <v>321</v>
      </c>
      <c r="B89" t="s">
        <v>4</v>
      </c>
      <c r="C89" t="s">
        <v>322</v>
      </c>
      <c r="D89" t="s">
        <v>268</v>
      </c>
      <c r="F89">
        <v>59</v>
      </c>
      <c r="G89" t="s">
        <v>166</v>
      </c>
      <c r="H89">
        <v>5</v>
      </c>
      <c r="I89" s="58" t="s">
        <v>365</v>
      </c>
      <c r="J89" t="s">
        <v>366</v>
      </c>
      <c r="K89" s="2">
        <v>45908</v>
      </c>
    </row>
    <row r="90" spans="1:11">
      <c r="A90" t="s">
        <v>321</v>
      </c>
      <c r="B90" t="s">
        <v>4</v>
      </c>
      <c r="C90" t="s">
        <v>255</v>
      </c>
      <c r="D90" t="s">
        <v>270</v>
      </c>
      <c r="E90">
        <v>10</v>
      </c>
      <c r="F90">
        <v>41</v>
      </c>
      <c r="G90" t="s">
        <v>359</v>
      </c>
      <c r="H90">
        <v>50</v>
      </c>
      <c r="I90">
        <v>100565416</v>
      </c>
      <c r="J90" t="s">
        <v>370</v>
      </c>
      <c r="K90" s="2">
        <v>45908</v>
      </c>
    </row>
    <row r="91" spans="1:11">
      <c r="A91" t="s">
        <v>321</v>
      </c>
      <c r="B91" t="s">
        <v>331</v>
      </c>
      <c r="C91" t="s">
        <v>332</v>
      </c>
      <c r="D91" t="s">
        <v>263</v>
      </c>
      <c r="E91" t="s">
        <v>381</v>
      </c>
      <c r="F91">
        <v>91</v>
      </c>
      <c r="G91" t="s">
        <v>330</v>
      </c>
      <c r="H91">
        <v>8</v>
      </c>
      <c r="I91">
        <v>100565524</v>
      </c>
      <c r="J91" t="s">
        <v>334</v>
      </c>
      <c r="K91" s="2">
        <v>45908</v>
      </c>
    </row>
    <row r="92" spans="1:11">
      <c r="A92" t="s">
        <v>321</v>
      </c>
      <c r="B92" t="s">
        <v>4</v>
      </c>
      <c r="C92" t="s">
        <v>255</v>
      </c>
      <c r="D92" t="s">
        <v>270</v>
      </c>
      <c r="E92">
        <v>13</v>
      </c>
      <c r="F92">
        <v>78</v>
      </c>
      <c r="G92" t="s">
        <v>136</v>
      </c>
      <c r="H92">
        <v>103</v>
      </c>
      <c r="I92">
        <v>100566038</v>
      </c>
      <c r="J92" t="s">
        <v>382</v>
      </c>
      <c r="K92" s="2">
        <v>45908</v>
      </c>
    </row>
    <row r="93" spans="1:11">
      <c r="A93" t="s">
        <v>321</v>
      </c>
      <c r="B93" t="s">
        <v>4</v>
      </c>
      <c r="C93" t="s">
        <v>322</v>
      </c>
      <c r="D93" t="s">
        <v>263</v>
      </c>
      <c r="F93">
        <v>77</v>
      </c>
      <c r="G93" t="s">
        <v>162</v>
      </c>
      <c r="H93">
        <v>77</v>
      </c>
      <c r="I93">
        <v>2724</v>
      </c>
      <c r="J93" t="s">
        <v>343</v>
      </c>
      <c r="K93" s="2">
        <v>45908</v>
      </c>
    </row>
    <row r="94" spans="1:11">
      <c r="A94" t="s">
        <v>321</v>
      </c>
      <c r="B94" t="s">
        <v>4</v>
      </c>
      <c r="C94" t="s">
        <v>322</v>
      </c>
      <c r="D94" t="s">
        <v>327</v>
      </c>
      <c r="F94">
        <v>61</v>
      </c>
      <c r="G94" t="s">
        <v>173</v>
      </c>
      <c r="H94">
        <v>76</v>
      </c>
      <c r="I94">
        <v>4808</v>
      </c>
      <c r="J94" t="s">
        <v>371</v>
      </c>
      <c r="K94" s="2">
        <v>45908</v>
      </c>
    </row>
    <row r="95" spans="1:11">
      <c r="A95" t="s">
        <v>321</v>
      </c>
      <c r="B95" t="s">
        <v>331</v>
      </c>
      <c r="C95" t="s">
        <v>332</v>
      </c>
      <c r="D95" t="s">
        <v>256</v>
      </c>
      <c r="E95" t="s">
        <v>333</v>
      </c>
      <c r="F95">
        <v>91</v>
      </c>
      <c r="G95" t="s">
        <v>330</v>
      </c>
      <c r="H95">
        <v>170</v>
      </c>
      <c r="I95">
        <v>100565524</v>
      </c>
      <c r="J95" t="s">
        <v>334</v>
      </c>
      <c r="K95" s="2">
        <v>45908</v>
      </c>
    </row>
    <row r="96" spans="1:11">
      <c r="A96" t="s">
        <v>321</v>
      </c>
      <c r="B96" t="s">
        <v>4</v>
      </c>
      <c r="C96" t="s">
        <v>255</v>
      </c>
      <c r="D96" t="s">
        <v>268</v>
      </c>
      <c r="E96">
        <v>13</v>
      </c>
      <c r="F96">
        <v>47</v>
      </c>
      <c r="G96" t="s">
        <v>125</v>
      </c>
      <c r="H96">
        <v>16</v>
      </c>
      <c r="I96">
        <v>100566960</v>
      </c>
      <c r="J96" t="s">
        <v>353</v>
      </c>
      <c r="K96" s="2">
        <v>45908</v>
      </c>
    </row>
    <row r="97" spans="1:11">
      <c r="A97" t="s">
        <v>321</v>
      </c>
      <c r="B97" t="s">
        <v>4</v>
      </c>
      <c r="C97" t="s">
        <v>322</v>
      </c>
      <c r="D97" t="s">
        <v>270</v>
      </c>
      <c r="F97">
        <v>120</v>
      </c>
      <c r="G97" t="s">
        <v>202</v>
      </c>
      <c r="H97">
        <v>99</v>
      </c>
      <c r="I97">
        <v>1393</v>
      </c>
      <c r="J97" t="s">
        <v>360</v>
      </c>
      <c r="K97" s="2">
        <v>45908</v>
      </c>
    </row>
    <row r="98" spans="1:11">
      <c r="A98" t="s">
        <v>321</v>
      </c>
      <c r="B98" t="s">
        <v>4</v>
      </c>
      <c r="C98" t="s">
        <v>322</v>
      </c>
      <c r="D98" t="s">
        <v>263</v>
      </c>
      <c r="F98">
        <v>48</v>
      </c>
      <c r="G98" t="s">
        <v>128</v>
      </c>
      <c r="H98">
        <v>21</v>
      </c>
      <c r="I98">
        <v>1789</v>
      </c>
      <c r="J98" t="s">
        <v>342</v>
      </c>
      <c r="K98" s="2">
        <v>45908</v>
      </c>
    </row>
    <row r="99" spans="1:11">
      <c r="A99" t="s">
        <v>321</v>
      </c>
      <c r="B99" t="s">
        <v>4</v>
      </c>
      <c r="C99" t="s">
        <v>322</v>
      </c>
      <c r="D99" t="s">
        <v>270</v>
      </c>
      <c r="F99">
        <v>66</v>
      </c>
      <c r="G99" t="s">
        <v>186</v>
      </c>
      <c r="H99">
        <v>52</v>
      </c>
      <c r="I99">
        <v>4494</v>
      </c>
      <c r="J99" t="s">
        <v>344</v>
      </c>
      <c r="K99" s="2">
        <v>45908</v>
      </c>
    </row>
    <row r="100" spans="1:11">
      <c r="A100" t="s">
        <v>321</v>
      </c>
      <c r="B100" t="s">
        <v>4</v>
      </c>
      <c r="C100" t="s">
        <v>322</v>
      </c>
      <c r="D100" t="s">
        <v>268</v>
      </c>
      <c r="F100">
        <v>61</v>
      </c>
      <c r="G100" t="s">
        <v>173</v>
      </c>
      <c r="H100">
        <v>18</v>
      </c>
      <c r="I100">
        <v>4776</v>
      </c>
      <c r="J100" t="s">
        <v>373</v>
      </c>
      <c r="K100" s="2">
        <v>45908</v>
      </c>
    </row>
    <row r="101" spans="1:11">
      <c r="A101" t="s">
        <v>321</v>
      </c>
      <c r="B101" t="s">
        <v>4</v>
      </c>
      <c r="C101" t="s">
        <v>255</v>
      </c>
      <c r="D101" t="s">
        <v>270</v>
      </c>
      <c r="F101">
        <v>48</v>
      </c>
      <c r="G101" t="s">
        <v>128</v>
      </c>
      <c r="H101">
        <v>20</v>
      </c>
      <c r="I101">
        <v>6872</v>
      </c>
      <c r="J101" t="s">
        <v>375</v>
      </c>
      <c r="K101" s="2">
        <v>45908</v>
      </c>
    </row>
    <row r="102" spans="1:11">
      <c r="A102" t="s">
        <v>321</v>
      </c>
      <c r="B102" t="s">
        <v>4</v>
      </c>
      <c r="C102" t="s">
        <v>322</v>
      </c>
      <c r="D102" t="s">
        <v>327</v>
      </c>
      <c r="F102">
        <v>53</v>
      </c>
      <c r="G102" t="s">
        <v>143</v>
      </c>
      <c r="H102">
        <v>39</v>
      </c>
      <c r="I102">
        <v>6872</v>
      </c>
      <c r="J102" t="s">
        <v>375</v>
      </c>
      <c r="K102" s="2">
        <v>45908</v>
      </c>
    </row>
    <row r="103" spans="1:11">
      <c r="A103" t="s">
        <v>321</v>
      </c>
      <c r="B103" t="s">
        <v>4</v>
      </c>
      <c r="C103" t="s">
        <v>322</v>
      </c>
      <c r="D103" t="s">
        <v>270</v>
      </c>
      <c r="F103">
        <v>75</v>
      </c>
      <c r="G103" t="s">
        <v>354</v>
      </c>
      <c r="H103">
        <v>67</v>
      </c>
      <c r="I103">
        <v>8528</v>
      </c>
      <c r="J103" t="s">
        <v>363</v>
      </c>
      <c r="K103" s="2">
        <v>45908</v>
      </c>
    </row>
    <row r="104" spans="1:11">
      <c r="A104" t="s">
        <v>321</v>
      </c>
      <c r="B104" t="s">
        <v>4</v>
      </c>
      <c r="C104" t="s">
        <v>322</v>
      </c>
      <c r="D104" t="s">
        <v>256</v>
      </c>
      <c r="F104">
        <v>77</v>
      </c>
      <c r="G104" t="s">
        <v>162</v>
      </c>
      <c r="H104">
        <v>2</v>
      </c>
      <c r="I104">
        <v>8792</v>
      </c>
      <c r="J104" t="s">
        <v>364</v>
      </c>
      <c r="K104" s="2">
        <v>45908</v>
      </c>
    </row>
    <row r="105" spans="1:11">
      <c r="A105" t="s">
        <v>321</v>
      </c>
      <c r="B105" t="s">
        <v>4</v>
      </c>
      <c r="C105" t="s">
        <v>322</v>
      </c>
      <c r="D105" t="s">
        <v>256</v>
      </c>
      <c r="F105">
        <v>60</v>
      </c>
      <c r="G105" t="s">
        <v>168</v>
      </c>
      <c r="H105">
        <v>5</v>
      </c>
      <c r="I105" s="58" t="s">
        <v>365</v>
      </c>
      <c r="J105" t="s">
        <v>366</v>
      </c>
      <c r="K105" s="2">
        <v>45908</v>
      </c>
    </row>
    <row r="106" spans="1:11">
      <c r="A106" t="s">
        <v>321</v>
      </c>
      <c r="B106" t="s">
        <v>4</v>
      </c>
      <c r="C106" t="s">
        <v>322</v>
      </c>
      <c r="D106" t="s">
        <v>268</v>
      </c>
      <c r="F106">
        <v>76</v>
      </c>
      <c r="G106" t="s">
        <v>194</v>
      </c>
      <c r="H106">
        <v>67</v>
      </c>
      <c r="I106" s="58" t="s">
        <v>325</v>
      </c>
      <c r="J106" t="s">
        <v>326</v>
      </c>
      <c r="K106" s="2">
        <v>45908</v>
      </c>
    </row>
    <row r="107" spans="1:11">
      <c r="A107" t="s">
        <v>321</v>
      </c>
      <c r="B107" t="s">
        <v>4</v>
      </c>
      <c r="C107" t="s">
        <v>255</v>
      </c>
      <c r="D107" t="s">
        <v>263</v>
      </c>
      <c r="E107">
        <v>14</v>
      </c>
      <c r="F107">
        <v>17</v>
      </c>
      <c r="G107" t="s">
        <v>110</v>
      </c>
      <c r="H107">
        <v>43</v>
      </c>
      <c r="I107">
        <v>100566560</v>
      </c>
      <c r="J107" t="s">
        <v>336</v>
      </c>
      <c r="K107" s="2">
        <v>45908</v>
      </c>
    </row>
    <row r="108" spans="1:11">
      <c r="A108" t="s">
        <v>321</v>
      </c>
      <c r="B108" t="s">
        <v>4</v>
      </c>
      <c r="C108" t="s">
        <v>255</v>
      </c>
      <c r="D108" t="s">
        <v>263</v>
      </c>
      <c r="E108">
        <v>15</v>
      </c>
      <c r="F108">
        <v>57</v>
      </c>
      <c r="G108" t="s">
        <v>335</v>
      </c>
      <c r="H108">
        <v>103</v>
      </c>
      <c r="I108">
        <v>100566560</v>
      </c>
      <c r="J108" t="s">
        <v>336</v>
      </c>
      <c r="K108" s="2">
        <v>45908</v>
      </c>
    </row>
    <row r="109" spans="1:11">
      <c r="A109" t="s">
        <v>321</v>
      </c>
      <c r="B109" t="s">
        <v>4</v>
      </c>
      <c r="C109" t="s">
        <v>322</v>
      </c>
      <c r="D109" t="s">
        <v>256</v>
      </c>
      <c r="F109">
        <v>29</v>
      </c>
      <c r="G109" t="s">
        <v>100</v>
      </c>
      <c r="H109">
        <v>23</v>
      </c>
      <c r="I109" s="58" t="s">
        <v>383</v>
      </c>
      <c r="J109" t="s">
        <v>384</v>
      </c>
      <c r="K109" s="2">
        <v>45908</v>
      </c>
    </row>
    <row r="110" spans="1:11">
      <c r="A110" t="s">
        <v>321</v>
      </c>
      <c r="B110" t="s">
        <v>4</v>
      </c>
      <c r="C110" t="s">
        <v>322</v>
      </c>
      <c r="D110" t="s">
        <v>327</v>
      </c>
      <c r="F110">
        <v>46</v>
      </c>
      <c r="G110" t="s">
        <v>122</v>
      </c>
      <c r="H110">
        <v>109</v>
      </c>
      <c r="I110" s="58" t="s">
        <v>348</v>
      </c>
      <c r="J110" t="s">
        <v>349</v>
      </c>
      <c r="K110" s="2">
        <v>45908</v>
      </c>
    </row>
    <row r="111" spans="1:11">
      <c r="A111" t="s">
        <v>321</v>
      </c>
      <c r="B111" t="s">
        <v>4</v>
      </c>
      <c r="C111" t="s">
        <v>322</v>
      </c>
      <c r="D111" t="s">
        <v>263</v>
      </c>
      <c r="F111">
        <v>72</v>
      </c>
      <c r="G111" t="s">
        <v>200</v>
      </c>
      <c r="H111">
        <v>28</v>
      </c>
      <c r="I111" s="58" t="s">
        <v>385</v>
      </c>
      <c r="J111" t="s">
        <v>386</v>
      </c>
      <c r="K111" s="2">
        <v>45908</v>
      </c>
    </row>
    <row r="112" spans="1:11">
      <c r="A112" t="s">
        <v>321</v>
      </c>
      <c r="B112" t="s">
        <v>4</v>
      </c>
      <c r="C112" t="s">
        <v>255</v>
      </c>
      <c r="D112" t="s">
        <v>268</v>
      </c>
      <c r="E112">
        <v>14</v>
      </c>
      <c r="F112">
        <v>47</v>
      </c>
      <c r="G112" t="s">
        <v>125</v>
      </c>
      <c r="H112">
        <v>60</v>
      </c>
      <c r="I112">
        <v>100566960</v>
      </c>
      <c r="J112" t="s">
        <v>353</v>
      </c>
      <c r="K112" s="2">
        <v>45908</v>
      </c>
    </row>
    <row r="113" spans="1:11">
      <c r="A113" t="s">
        <v>321</v>
      </c>
      <c r="B113" t="s">
        <v>4</v>
      </c>
      <c r="C113" t="s">
        <v>322</v>
      </c>
      <c r="D113" t="s">
        <v>256</v>
      </c>
      <c r="F113">
        <v>75</v>
      </c>
      <c r="G113" t="s">
        <v>354</v>
      </c>
      <c r="H113">
        <v>23</v>
      </c>
      <c r="I113">
        <v>2269</v>
      </c>
      <c r="J113" t="s">
        <v>355</v>
      </c>
      <c r="K113" s="2">
        <v>45908</v>
      </c>
    </row>
    <row r="114" spans="1:11">
      <c r="A114" t="s">
        <v>321</v>
      </c>
      <c r="B114" t="s">
        <v>4</v>
      </c>
      <c r="C114" t="s">
        <v>322</v>
      </c>
      <c r="D114" t="s">
        <v>270</v>
      </c>
      <c r="F114">
        <v>74</v>
      </c>
      <c r="G114" t="s">
        <v>185</v>
      </c>
      <c r="H114">
        <v>1</v>
      </c>
      <c r="I114">
        <v>2724</v>
      </c>
      <c r="J114" t="s">
        <v>343</v>
      </c>
      <c r="K114" s="2">
        <v>45908</v>
      </c>
    </row>
    <row r="115" spans="1:11">
      <c r="A115" t="s">
        <v>321</v>
      </c>
      <c r="B115" t="s">
        <v>4</v>
      </c>
      <c r="C115" t="s">
        <v>322</v>
      </c>
      <c r="D115" t="s">
        <v>270</v>
      </c>
      <c r="F115">
        <v>59</v>
      </c>
      <c r="G115" t="s">
        <v>166</v>
      </c>
      <c r="H115">
        <v>23</v>
      </c>
      <c r="I115">
        <v>2798</v>
      </c>
      <c r="J115" t="s">
        <v>387</v>
      </c>
      <c r="K115" s="2">
        <v>45908</v>
      </c>
    </row>
    <row r="116" spans="1:11">
      <c r="A116" t="s">
        <v>321</v>
      </c>
      <c r="B116" t="s">
        <v>4</v>
      </c>
      <c r="C116" t="s">
        <v>322</v>
      </c>
      <c r="D116" t="s">
        <v>268</v>
      </c>
      <c r="F116">
        <v>53</v>
      </c>
      <c r="G116" t="s">
        <v>143</v>
      </c>
      <c r="H116">
        <v>1</v>
      </c>
      <c r="I116">
        <v>6872</v>
      </c>
      <c r="J116" t="s">
        <v>375</v>
      </c>
      <c r="K116" s="2">
        <v>45908</v>
      </c>
    </row>
    <row r="117" spans="1:11">
      <c r="A117" t="s">
        <v>321</v>
      </c>
      <c r="B117" t="s">
        <v>4</v>
      </c>
      <c r="C117" t="s">
        <v>322</v>
      </c>
      <c r="D117" t="s">
        <v>270</v>
      </c>
      <c r="F117">
        <v>59</v>
      </c>
      <c r="G117" t="s">
        <v>166</v>
      </c>
      <c r="H117">
        <v>18</v>
      </c>
      <c r="I117" s="58" t="s">
        <v>378</v>
      </c>
      <c r="J117" t="s">
        <v>379</v>
      </c>
      <c r="K117" s="2">
        <v>45908</v>
      </c>
    </row>
    <row r="118" spans="1:11">
      <c r="A118" t="s">
        <v>321</v>
      </c>
      <c r="B118" t="s">
        <v>4</v>
      </c>
      <c r="C118" t="s">
        <v>322</v>
      </c>
      <c r="D118" t="s">
        <v>327</v>
      </c>
      <c r="F118">
        <v>59</v>
      </c>
      <c r="G118" t="s">
        <v>166</v>
      </c>
      <c r="H118">
        <v>7</v>
      </c>
      <c r="I118" s="58" t="s">
        <v>365</v>
      </c>
      <c r="J118" t="s">
        <v>366</v>
      </c>
      <c r="K118" s="2">
        <v>45908</v>
      </c>
    </row>
    <row r="119" spans="1:11">
      <c r="A119" t="s">
        <v>321</v>
      </c>
      <c r="B119" t="s">
        <v>4</v>
      </c>
      <c r="C119" t="s">
        <v>322</v>
      </c>
      <c r="D119" t="s">
        <v>268</v>
      </c>
      <c r="F119">
        <v>72</v>
      </c>
      <c r="G119" t="s">
        <v>200</v>
      </c>
      <c r="H119">
        <v>39</v>
      </c>
      <c r="I119" s="58" t="s">
        <v>385</v>
      </c>
      <c r="J119" t="s">
        <v>386</v>
      </c>
      <c r="K119" s="2">
        <v>45908</v>
      </c>
    </row>
    <row r="120" spans="1:11">
      <c r="A120" t="s">
        <v>321</v>
      </c>
      <c r="B120" t="s">
        <v>4</v>
      </c>
      <c r="C120" t="s">
        <v>322</v>
      </c>
      <c r="D120" t="s">
        <v>263</v>
      </c>
      <c r="F120">
        <v>58</v>
      </c>
      <c r="G120" t="s">
        <v>164</v>
      </c>
      <c r="H120">
        <v>49</v>
      </c>
      <c r="I120" s="58" t="s">
        <v>356</v>
      </c>
      <c r="J120" t="s">
        <v>357</v>
      </c>
      <c r="K120" s="2">
        <v>45908</v>
      </c>
    </row>
    <row r="121" spans="1:11">
      <c r="A121" t="s">
        <v>321</v>
      </c>
      <c r="B121" t="s">
        <v>4</v>
      </c>
      <c r="C121" t="s">
        <v>255</v>
      </c>
      <c r="D121" t="s">
        <v>327</v>
      </c>
      <c r="E121">
        <v>12</v>
      </c>
      <c r="F121">
        <v>50</v>
      </c>
      <c r="G121" t="s">
        <v>134</v>
      </c>
      <c r="H121">
        <v>7</v>
      </c>
      <c r="I121">
        <v>100563997</v>
      </c>
      <c r="J121" t="s">
        <v>380</v>
      </c>
      <c r="K121" s="2">
        <v>45908</v>
      </c>
    </row>
    <row r="122" spans="1:11">
      <c r="A122" t="s">
        <v>321</v>
      </c>
      <c r="B122" t="s">
        <v>4</v>
      </c>
      <c r="C122" t="s">
        <v>322</v>
      </c>
      <c r="D122" t="s">
        <v>270</v>
      </c>
      <c r="E122">
        <v>11</v>
      </c>
      <c r="F122">
        <v>50</v>
      </c>
      <c r="G122" t="s">
        <v>134</v>
      </c>
      <c r="H122">
        <v>104</v>
      </c>
      <c r="I122">
        <v>100565514</v>
      </c>
      <c r="J122" t="s">
        <v>326</v>
      </c>
      <c r="K122" s="2">
        <v>45908</v>
      </c>
    </row>
    <row r="123" spans="1:11">
      <c r="A123" t="s">
        <v>321</v>
      </c>
      <c r="B123" t="s">
        <v>331</v>
      </c>
      <c r="C123" t="s">
        <v>332</v>
      </c>
      <c r="D123" t="s">
        <v>327</v>
      </c>
      <c r="E123" t="s">
        <v>367</v>
      </c>
      <c r="F123">
        <v>91</v>
      </c>
      <c r="G123" t="s">
        <v>330</v>
      </c>
      <c r="H123">
        <v>125</v>
      </c>
      <c r="I123">
        <v>100565524</v>
      </c>
      <c r="J123" t="s">
        <v>334</v>
      </c>
      <c r="K123" s="2">
        <v>45908</v>
      </c>
    </row>
    <row r="124" spans="1:11">
      <c r="A124" t="s">
        <v>321</v>
      </c>
      <c r="B124" t="s">
        <v>4</v>
      </c>
      <c r="C124" t="s">
        <v>255</v>
      </c>
      <c r="D124" t="s">
        <v>263</v>
      </c>
      <c r="E124">
        <v>15</v>
      </c>
      <c r="F124">
        <v>17</v>
      </c>
      <c r="G124" t="s">
        <v>110</v>
      </c>
      <c r="H124">
        <v>103</v>
      </c>
      <c r="I124">
        <v>100566560</v>
      </c>
      <c r="J124" t="s">
        <v>336</v>
      </c>
      <c r="K124" s="2">
        <v>45908</v>
      </c>
    </row>
    <row r="125" spans="1:11">
      <c r="A125" t="s">
        <v>321</v>
      </c>
      <c r="B125" t="s">
        <v>4</v>
      </c>
      <c r="C125" t="s">
        <v>322</v>
      </c>
      <c r="D125" t="s">
        <v>327</v>
      </c>
      <c r="F125">
        <v>79</v>
      </c>
      <c r="G125" t="s">
        <v>159</v>
      </c>
      <c r="H125">
        <v>66</v>
      </c>
      <c r="I125">
        <v>2724</v>
      </c>
      <c r="J125" t="s">
        <v>343</v>
      </c>
      <c r="K125" s="2">
        <v>45908</v>
      </c>
    </row>
    <row r="126" spans="1:11">
      <c r="A126" t="s">
        <v>321</v>
      </c>
      <c r="B126" t="s">
        <v>4</v>
      </c>
      <c r="C126" t="s">
        <v>322</v>
      </c>
      <c r="D126" t="s">
        <v>256</v>
      </c>
      <c r="F126">
        <v>79</v>
      </c>
      <c r="G126" t="s">
        <v>159</v>
      </c>
      <c r="H126">
        <v>29</v>
      </c>
      <c r="I126">
        <v>6099</v>
      </c>
      <c r="J126" t="s">
        <v>374</v>
      </c>
      <c r="K126" s="2">
        <v>45908</v>
      </c>
    </row>
    <row r="127" spans="1:11">
      <c r="A127" t="s">
        <v>321</v>
      </c>
      <c r="B127" t="s">
        <v>4</v>
      </c>
      <c r="C127" t="s">
        <v>322</v>
      </c>
      <c r="D127" t="s">
        <v>270</v>
      </c>
      <c r="F127">
        <v>68</v>
      </c>
      <c r="G127" t="s">
        <v>191</v>
      </c>
      <c r="H127">
        <v>84</v>
      </c>
      <c r="I127">
        <v>8792</v>
      </c>
      <c r="J127" t="s">
        <v>364</v>
      </c>
      <c r="K127" s="2">
        <v>45908</v>
      </c>
    </row>
    <row r="128" spans="1:11">
      <c r="A128" t="s">
        <v>321</v>
      </c>
      <c r="B128" t="s">
        <v>4</v>
      </c>
      <c r="C128" t="s">
        <v>322</v>
      </c>
      <c r="D128" t="s">
        <v>268</v>
      </c>
      <c r="F128">
        <v>59</v>
      </c>
      <c r="G128" t="s">
        <v>166</v>
      </c>
      <c r="H128">
        <v>1</v>
      </c>
      <c r="I128">
        <v>9481</v>
      </c>
      <c r="J128" t="s">
        <v>346</v>
      </c>
      <c r="K128" s="2">
        <v>45908</v>
      </c>
    </row>
    <row r="129" spans="1:11">
      <c r="A129" t="s">
        <v>321</v>
      </c>
      <c r="B129" t="s">
        <v>4</v>
      </c>
      <c r="C129" t="s">
        <v>322</v>
      </c>
      <c r="D129" t="s">
        <v>263</v>
      </c>
      <c r="F129">
        <v>59</v>
      </c>
      <c r="G129" t="s">
        <v>166</v>
      </c>
      <c r="H129">
        <v>16</v>
      </c>
      <c r="I129" s="58" t="s">
        <v>378</v>
      </c>
      <c r="J129" t="s">
        <v>379</v>
      </c>
      <c r="K129" s="2">
        <v>45908</v>
      </c>
    </row>
    <row r="130" spans="1:11">
      <c r="A130" t="s">
        <v>321</v>
      </c>
      <c r="B130" t="s">
        <v>4</v>
      </c>
      <c r="C130" t="s">
        <v>255</v>
      </c>
      <c r="D130" t="s">
        <v>256</v>
      </c>
      <c r="E130">
        <v>13</v>
      </c>
      <c r="F130">
        <v>41</v>
      </c>
      <c r="G130" t="s">
        <v>359</v>
      </c>
      <c r="H130">
        <v>57</v>
      </c>
      <c r="I130">
        <v>100565416</v>
      </c>
      <c r="J130" t="s">
        <v>370</v>
      </c>
      <c r="K130" s="2">
        <v>45908</v>
      </c>
    </row>
    <row r="131" spans="1:11">
      <c r="A131" t="s">
        <v>321</v>
      </c>
      <c r="B131" t="s">
        <v>4</v>
      </c>
      <c r="C131" t="s">
        <v>255</v>
      </c>
      <c r="D131" t="s">
        <v>327</v>
      </c>
      <c r="E131">
        <v>14</v>
      </c>
      <c r="F131">
        <v>41</v>
      </c>
      <c r="G131" t="s">
        <v>359</v>
      </c>
      <c r="H131">
        <v>55</v>
      </c>
      <c r="I131">
        <v>100565416</v>
      </c>
      <c r="J131" t="s">
        <v>370</v>
      </c>
      <c r="K131" s="2">
        <v>45908</v>
      </c>
    </row>
    <row r="132" spans="1:11">
      <c r="A132" t="s">
        <v>321</v>
      </c>
      <c r="B132" t="s">
        <v>331</v>
      </c>
      <c r="C132" t="s">
        <v>332</v>
      </c>
      <c r="D132" t="s">
        <v>270</v>
      </c>
      <c r="E132" t="s">
        <v>333</v>
      </c>
      <c r="F132">
        <v>91</v>
      </c>
      <c r="G132" t="s">
        <v>330</v>
      </c>
      <c r="H132">
        <v>129</v>
      </c>
      <c r="I132">
        <v>100565524</v>
      </c>
      <c r="J132" t="s">
        <v>334</v>
      </c>
      <c r="K132" s="2">
        <v>45908</v>
      </c>
    </row>
    <row r="133" spans="1:11">
      <c r="A133" t="s">
        <v>321</v>
      </c>
      <c r="B133" t="s">
        <v>4</v>
      </c>
      <c r="C133" t="s">
        <v>322</v>
      </c>
      <c r="D133" t="s">
        <v>270</v>
      </c>
      <c r="F133">
        <v>77</v>
      </c>
      <c r="G133" t="s">
        <v>162</v>
      </c>
      <c r="H133">
        <v>34</v>
      </c>
      <c r="I133">
        <v>6099</v>
      </c>
      <c r="J133" t="s">
        <v>374</v>
      </c>
      <c r="K133" s="2">
        <v>45908</v>
      </c>
    </row>
    <row r="134" spans="1:11">
      <c r="A134" t="s">
        <v>321</v>
      </c>
      <c r="B134" t="s">
        <v>4</v>
      </c>
      <c r="C134" t="s">
        <v>322</v>
      </c>
      <c r="D134" t="s">
        <v>256</v>
      </c>
      <c r="F134">
        <v>72</v>
      </c>
      <c r="G134" t="s">
        <v>200</v>
      </c>
      <c r="H134">
        <v>54</v>
      </c>
      <c r="I134">
        <v>678</v>
      </c>
      <c r="J134" t="s">
        <v>388</v>
      </c>
      <c r="K134" s="2">
        <v>45908</v>
      </c>
    </row>
    <row r="135" spans="1:11">
      <c r="A135" t="s">
        <v>321</v>
      </c>
      <c r="B135" t="s">
        <v>4</v>
      </c>
      <c r="C135" t="s">
        <v>322</v>
      </c>
      <c r="D135" t="s">
        <v>263</v>
      </c>
      <c r="F135">
        <v>48</v>
      </c>
      <c r="G135" t="s">
        <v>128</v>
      </c>
      <c r="H135">
        <v>43</v>
      </c>
      <c r="I135">
        <v>6872</v>
      </c>
      <c r="J135" t="s">
        <v>375</v>
      </c>
      <c r="K135" s="2">
        <v>45908</v>
      </c>
    </row>
    <row r="136" spans="1:11">
      <c r="A136" t="s">
        <v>321</v>
      </c>
      <c r="B136" t="s">
        <v>4</v>
      </c>
      <c r="C136" t="s">
        <v>322</v>
      </c>
      <c r="D136" t="s">
        <v>268</v>
      </c>
      <c r="F136">
        <v>55</v>
      </c>
      <c r="G136" t="s">
        <v>152</v>
      </c>
      <c r="H136">
        <v>2</v>
      </c>
      <c r="I136">
        <v>9189</v>
      </c>
      <c r="J136" t="s">
        <v>345</v>
      </c>
      <c r="K136" s="2">
        <v>45908</v>
      </c>
    </row>
    <row r="137" spans="1:11">
      <c r="A137" t="s">
        <v>321</v>
      </c>
      <c r="B137" t="s">
        <v>4</v>
      </c>
      <c r="C137" t="s">
        <v>322</v>
      </c>
      <c r="D137" t="s">
        <v>256</v>
      </c>
      <c r="F137">
        <v>60</v>
      </c>
      <c r="G137" t="s">
        <v>168</v>
      </c>
      <c r="H137">
        <v>16</v>
      </c>
      <c r="I137">
        <v>9481</v>
      </c>
      <c r="J137" t="s">
        <v>346</v>
      </c>
      <c r="K137" s="2">
        <v>45908</v>
      </c>
    </row>
    <row r="138" spans="1:11">
      <c r="A138" t="s">
        <v>321</v>
      </c>
      <c r="B138" t="s">
        <v>4</v>
      </c>
      <c r="C138" t="s">
        <v>322</v>
      </c>
      <c r="D138" t="s">
        <v>327</v>
      </c>
      <c r="F138">
        <v>29</v>
      </c>
      <c r="G138" t="s">
        <v>100</v>
      </c>
      <c r="H138">
        <v>1</v>
      </c>
      <c r="I138" s="58" t="s">
        <v>383</v>
      </c>
      <c r="J138" t="s">
        <v>384</v>
      </c>
      <c r="K138" s="2">
        <v>45908</v>
      </c>
    </row>
    <row r="139" spans="1:11">
      <c r="A139" t="s">
        <v>321</v>
      </c>
      <c r="B139" t="s">
        <v>4</v>
      </c>
      <c r="C139" t="s">
        <v>322</v>
      </c>
      <c r="D139" t="s">
        <v>268</v>
      </c>
      <c r="F139">
        <v>66</v>
      </c>
      <c r="G139" t="s">
        <v>186</v>
      </c>
      <c r="H139">
        <v>23</v>
      </c>
      <c r="I139" s="58" t="s">
        <v>323</v>
      </c>
      <c r="J139" t="s">
        <v>324</v>
      </c>
      <c r="K139" s="2">
        <v>45908</v>
      </c>
    </row>
    <row r="140" spans="1:11">
      <c r="A140" t="s">
        <v>321</v>
      </c>
      <c r="B140" t="s">
        <v>4</v>
      </c>
      <c r="C140" t="s">
        <v>322</v>
      </c>
      <c r="D140" t="s">
        <v>327</v>
      </c>
      <c r="F140">
        <v>58</v>
      </c>
      <c r="G140" t="s">
        <v>164</v>
      </c>
      <c r="H140">
        <v>42</v>
      </c>
      <c r="I140" s="58" t="s">
        <v>356</v>
      </c>
      <c r="J140" t="s">
        <v>357</v>
      </c>
      <c r="K140" s="2">
        <v>45908</v>
      </c>
    </row>
    <row r="141" spans="1:11">
      <c r="A141" t="s">
        <v>321</v>
      </c>
      <c r="B141" t="s">
        <v>4</v>
      </c>
      <c r="C141" t="s">
        <v>322</v>
      </c>
      <c r="D141" t="s">
        <v>268</v>
      </c>
      <c r="F141">
        <v>58</v>
      </c>
      <c r="G141" t="s">
        <v>164</v>
      </c>
      <c r="H141">
        <v>12</v>
      </c>
      <c r="I141" s="58" t="s">
        <v>328</v>
      </c>
      <c r="J141" t="s">
        <v>329</v>
      </c>
      <c r="K141" s="2">
        <v>45908</v>
      </c>
    </row>
    <row r="142" spans="1:11">
      <c r="A142" t="s">
        <v>321</v>
      </c>
      <c r="B142" t="s">
        <v>4</v>
      </c>
      <c r="C142" t="s">
        <v>255</v>
      </c>
      <c r="D142" t="s">
        <v>263</v>
      </c>
      <c r="E142">
        <v>15</v>
      </c>
      <c r="F142">
        <v>36</v>
      </c>
      <c r="G142" t="s">
        <v>347</v>
      </c>
      <c r="H142">
        <v>103</v>
      </c>
      <c r="I142">
        <v>100565074</v>
      </c>
      <c r="J142" t="s">
        <v>351</v>
      </c>
      <c r="K142" s="2">
        <v>45908</v>
      </c>
    </row>
    <row r="143" spans="1:11">
      <c r="A143" t="s">
        <v>321</v>
      </c>
      <c r="B143" t="s">
        <v>331</v>
      </c>
      <c r="C143" t="s">
        <v>337</v>
      </c>
      <c r="D143" t="s">
        <v>270</v>
      </c>
      <c r="E143" t="s">
        <v>389</v>
      </c>
      <c r="F143">
        <v>30</v>
      </c>
      <c r="G143" t="s">
        <v>339</v>
      </c>
      <c r="H143">
        <v>410</v>
      </c>
      <c r="I143">
        <v>100566810</v>
      </c>
      <c r="J143" t="s">
        <v>340</v>
      </c>
      <c r="K143" s="2">
        <v>45908</v>
      </c>
    </row>
    <row r="144" spans="1:11">
      <c r="A144" t="s">
        <v>321</v>
      </c>
      <c r="B144" t="s">
        <v>4</v>
      </c>
      <c r="C144" t="s">
        <v>322</v>
      </c>
      <c r="D144" t="s">
        <v>256</v>
      </c>
      <c r="F144">
        <v>65</v>
      </c>
      <c r="G144" t="s">
        <v>182</v>
      </c>
      <c r="H144">
        <v>31</v>
      </c>
      <c r="I144">
        <v>4494</v>
      </c>
      <c r="J144" t="s">
        <v>344</v>
      </c>
      <c r="K144" s="2">
        <v>45908</v>
      </c>
    </row>
    <row r="145" spans="1:11">
      <c r="A145" t="s">
        <v>321</v>
      </c>
      <c r="B145" t="s">
        <v>4</v>
      </c>
      <c r="C145" t="s">
        <v>322</v>
      </c>
      <c r="D145" t="s">
        <v>263</v>
      </c>
      <c r="F145">
        <v>61</v>
      </c>
      <c r="G145" t="s">
        <v>173</v>
      </c>
      <c r="H145">
        <v>37</v>
      </c>
      <c r="I145">
        <v>4776</v>
      </c>
      <c r="J145" t="s">
        <v>373</v>
      </c>
      <c r="K145" s="2">
        <v>45908</v>
      </c>
    </row>
    <row r="146" spans="1:11">
      <c r="A146" t="s">
        <v>321</v>
      </c>
      <c r="B146" t="s">
        <v>4</v>
      </c>
      <c r="C146" t="s">
        <v>322</v>
      </c>
      <c r="D146" t="s">
        <v>263</v>
      </c>
      <c r="F146">
        <v>67</v>
      </c>
      <c r="G146" t="s">
        <v>188</v>
      </c>
      <c r="H146">
        <v>39</v>
      </c>
      <c r="I146">
        <v>8792</v>
      </c>
      <c r="J146" t="s">
        <v>364</v>
      </c>
      <c r="K146" s="2">
        <v>45908</v>
      </c>
    </row>
    <row r="147" spans="1:11">
      <c r="A147" t="s">
        <v>321</v>
      </c>
      <c r="B147" t="s">
        <v>4</v>
      </c>
      <c r="C147" t="s">
        <v>322</v>
      </c>
      <c r="D147" t="s">
        <v>270</v>
      </c>
      <c r="F147">
        <v>60</v>
      </c>
      <c r="G147" t="s">
        <v>168</v>
      </c>
      <c r="H147">
        <v>35</v>
      </c>
      <c r="I147">
        <v>9481</v>
      </c>
      <c r="J147" t="s">
        <v>346</v>
      </c>
      <c r="K147" s="2">
        <v>45908</v>
      </c>
    </row>
    <row r="148" spans="1:11">
      <c r="A148" t="s">
        <v>321</v>
      </c>
      <c r="B148" t="s">
        <v>4</v>
      </c>
      <c r="C148" t="s">
        <v>322</v>
      </c>
      <c r="D148" t="s">
        <v>263</v>
      </c>
      <c r="F148">
        <v>18</v>
      </c>
      <c r="G148" t="s">
        <v>112</v>
      </c>
      <c r="H148">
        <v>110</v>
      </c>
      <c r="I148" s="58" t="s">
        <v>348</v>
      </c>
      <c r="J148" t="s">
        <v>349</v>
      </c>
      <c r="K148" s="2">
        <v>45908</v>
      </c>
    </row>
    <row r="149" spans="1:11">
      <c r="A149" t="s">
        <v>321</v>
      </c>
      <c r="B149" t="s">
        <v>4</v>
      </c>
      <c r="C149" t="s">
        <v>322</v>
      </c>
      <c r="D149" t="s">
        <v>263</v>
      </c>
      <c r="F149">
        <v>69</v>
      </c>
      <c r="G149" t="s">
        <v>193</v>
      </c>
      <c r="H149">
        <v>67</v>
      </c>
      <c r="I149" s="58" t="s">
        <v>325</v>
      </c>
      <c r="J149" t="s">
        <v>326</v>
      </c>
      <c r="K149" s="2">
        <v>45908</v>
      </c>
    </row>
    <row r="150" spans="1:11">
      <c r="A150" t="s">
        <v>321</v>
      </c>
      <c r="B150" t="s">
        <v>331</v>
      </c>
      <c r="C150" t="s">
        <v>332</v>
      </c>
      <c r="D150" t="s">
        <v>358</v>
      </c>
      <c r="E150" t="s">
        <v>367</v>
      </c>
      <c r="F150">
        <v>91</v>
      </c>
      <c r="G150" t="s">
        <v>330</v>
      </c>
      <c r="H150">
        <v>151</v>
      </c>
      <c r="I150">
        <v>100565524</v>
      </c>
      <c r="J150" t="s">
        <v>334</v>
      </c>
      <c r="K150" s="2">
        <v>45908</v>
      </c>
    </row>
    <row r="151" spans="1:11">
      <c r="A151" t="s">
        <v>321</v>
      </c>
      <c r="B151" t="s">
        <v>4</v>
      </c>
      <c r="C151" t="s">
        <v>255</v>
      </c>
      <c r="D151" t="s">
        <v>270</v>
      </c>
      <c r="E151">
        <v>13</v>
      </c>
      <c r="F151">
        <v>17</v>
      </c>
      <c r="G151" t="s">
        <v>110</v>
      </c>
      <c r="H151">
        <v>74</v>
      </c>
      <c r="I151">
        <v>100566560</v>
      </c>
      <c r="J151" t="s">
        <v>336</v>
      </c>
      <c r="K151" s="2">
        <v>45908</v>
      </c>
    </row>
    <row r="152" spans="1:11">
      <c r="A152" t="s">
        <v>321</v>
      </c>
      <c r="B152" t="s">
        <v>4</v>
      </c>
      <c r="C152" t="s">
        <v>255</v>
      </c>
      <c r="D152" t="s">
        <v>268</v>
      </c>
      <c r="E152">
        <v>10</v>
      </c>
      <c r="F152">
        <v>50</v>
      </c>
      <c r="G152" t="s">
        <v>134</v>
      </c>
      <c r="H152">
        <v>8</v>
      </c>
      <c r="I152">
        <v>100566711</v>
      </c>
      <c r="J152" t="s">
        <v>375</v>
      </c>
      <c r="K152" s="2">
        <v>45908</v>
      </c>
    </row>
    <row r="153" spans="1:11">
      <c r="A153" t="s">
        <v>321</v>
      </c>
      <c r="B153" t="s">
        <v>4</v>
      </c>
      <c r="C153" t="s">
        <v>322</v>
      </c>
      <c r="D153" t="s">
        <v>263</v>
      </c>
      <c r="F153">
        <v>79</v>
      </c>
      <c r="G153" t="s">
        <v>159</v>
      </c>
      <c r="H153">
        <v>77</v>
      </c>
      <c r="I153">
        <v>2724</v>
      </c>
      <c r="J153" t="s">
        <v>343</v>
      </c>
      <c r="K153" s="2">
        <v>45908</v>
      </c>
    </row>
    <row r="154" spans="1:11">
      <c r="A154" t="s">
        <v>321</v>
      </c>
      <c r="B154" t="s">
        <v>4</v>
      </c>
      <c r="C154" t="s">
        <v>322</v>
      </c>
      <c r="D154" t="s">
        <v>268</v>
      </c>
      <c r="F154">
        <v>59</v>
      </c>
      <c r="G154" t="s">
        <v>166</v>
      </c>
      <c r="H154">
        <v>4</v>
      </c>
      <c r="I154">
        <v>3575</v>
      </c>
      <c r="J154" t="s">
        <v>372</v>
      </c>
      <c r="K154" s="2">
        <v>45908</v>
      </c>
    </row>
    <row r="155" spans="1:11">
      <c r="A155" t="s">
        <v>321</v>
      </c>
      <c r="B155" t="s">
        <v>4</v>
      </c>
      <c r="C155" t="s">
        <v>322</v>
      </c>
      <c r="D155" t="s">
        <v>327</v>
      </c>
      <c r="F155">
        <v>48</v>
      </c>
      <c r="G155" t="s">
        <v>128</v>
      </c>
      <c r="H155">
        <v>39</v>
      </c>
      <c r="I155">
        <v>6872</v>
      </c>
      <c r="J155" t="s">
        <v>375</v>
      </c>
      <c r="K155" s="2">
        <v>45908</v>
      </c>
    </row>
    <row r="156" spans="1:11">
      <c r="A156" t="s">
        <v>321</v>
      </c>
      <c r="B156" t="s">
        <v>4</v>
      </c>
      <c r="C156" t="s">
        <v>322</v>
      </c>
      <c r="D156" t="s">
        <v>256</v>
      </c>
      <c r="F156">
        <v>79</v>
      </c>
      <c r="G156" t="s">
        <v>159</v>
      </c>
      <c r="H156">
        <v>2</v>
      </c>
      <c r="I156">
        <v>8792</v>
      </c>
      <c r="J156" t="s">
        <v>364</v>
      </c>
      <c r="K156" s="2">
        <v>45908</v>
      </c>
    </row>
    <row r="157" spans="1:11">
      <c r="A157" t="s">
        <v>321</v>
      </c>
      <c r="B157" t="s">
        <v>4</v>
      </c>
      <c r="C157" t="s">
        <v>322</v>
      </c>
      <c r="D157" t="s">
        <v>270</v>
      </c>
      <c r="F157">
        <v>46</v>
      </c>
      <c r="G157" t="s">
        <v>122</v>
      </c>
      <c r="H157">
        <v>38</v>
      </c>
      <c r="I157" s="58" t="s">
        <v>348</v>
      </c>
      <c r="J157" t="s">
        <v>349</v>
      </c>
      <c r="K157" s="2">
        <v>45908</v>
      </c>
    </row>
    <row r="158" spans="1:11">
      <c r="A158" t="s">
        <v>321</v>
      </c>
      <c r="B158" t="s">
        <v>4</v>
      </c>
      <c r="C158" t="s">
        <v>322</v>
      </c>
      <c r="D158" t="s">
        <v>268</v>
      </c>
      <c r="E158">
        <v>12</v>
      </c>
      <c r="F158">
        <v>50</v>
      </c>
      <c r="G158" t="s">
        <v>134</v>
      </c>
      <c r="H158">
        <v>7</v>
      </c>
      <c r="I158">
        <v>100565514</v>
      </c>
      <c r="J158" t="s">
        <v>326</v>
      </c>
      <c r="K158" s="2">
        <v>45908</v>
      </c>
    </row>
    <row r="159" spans="1:11">
      <c r="A159" t="s">
        <v>321</v>
      </c>
      <c r="B159" t="s">
        <v>4</v>
      </c>
      <c r="C159" t="s">
        <v>322</v>
      </c>
      <c r="D159" t="s">
        <v>327</v>
      </c>
      <c r="F159">
        <v>55</v>
      </c>
      <c r="G159" t="s">
        <v>152</v>
      </c>
      <c r="H159">
        <v>45</v>
      </c>
      <c r="I159">
        <v>1789</v>
      </c>
      <c r="J159" t="s">
        <v>342</v>
      </c>
      <c r="K159" s="2">
        <v>45908</v>
      </c>
    </row>
    <row r="160" spans="1:11">
      <c r="A160" t="s">
        <v>321</v>
      </c>
      <c r="B160" t="s">
        <v>4</v>
      </c>
      <c r="C160" t="s">
        <v>322</v>
      </c>
      <c r="D160" t="s">
        <v>327</v>
      </c>
      <c r="F160">
        <v>67</v>
      </c>
      <c r="G160" t="s">
        <v>188</v>
      </c>
      <c r="H160">
        <v>4</v>
      </c>
      <c r="I160">
        <v>8792</v>
      </c>
      <c r="J160" t="s">
        <v>364</v>
      </c>
      <c r="K160" s="2">
        <v>45908</v>
      </c>
    </row>
    <row r="161" spans="1:11">
      <c r="A161" t="s">
        <v>321</v>
      </c>
      <c r="B161" t="s">
        <v>4</v>
      </c>
      <c r="C161" t="s">
        <v>322</v>
      </c>
      <c r="D161" t="s">
        <v>268</v>
      </c>
      <c r="F161">
        <v>56</v>
      </c>
      <c r="G161" t="s">
        <v>154</v>
      </c>
      <c r="H161">
        <v>2</v>
      </c>
      <c r="I161">
        <v>9189</v>
      </c>
      <c r="J161" t="s">
        <v>345</v>
      </c>
      <c r="K161" s="2">
        <v>45908</v>
      </c>
    </row>
    <row r="162" spans="1:11">
      <c r="A162" t="s">
        <v>321</v>
      </c>
      <c r="B162" t="s">
        <v>4</v>
      </c>
      <c r="C162" t="s">
        <v>322</v>
      </c>
      <c r="D162" t="s">
        <v>270</v>
      </c>
      <c r="F162">
        <v>29</v>
      </c>
      <c r="G162" t="s">
        <v>100</v>
      </c>
      <c r="H162">
        <v>54</v>
      </c>
      <c r="I162" s="58" t="s">
        <v>383</v>
      </c>
      <c r="J162" t="s">
        <v>384</v>
      </c>
      <c r="K162" s="2">
        <v>45908</v>
      </c>
    </row>
    <row r="163" spans="1:11">
      <c r="A163" t="s">
        <v>321</v>
      </c>
      <c r="B163" t="s">
        <v>4</v>
      </c>
      <c r="C163" t="s">
        <v>322</v>
      </c>
      <c r="D163" t="s">
        <v>327</v>
      </c>
      <c r="F163">
        <v>42</v>
      </c>
      <c r="G163" t="s">
        <v>102</v>
      </c>
      <c r="H163">
        <v>3</v>
      </c>
      <c r="I163" s="58" t="s">
        <v>325</v>
      </c>
      <c r="J163" t="s">
        <v>326</v>
      </c>
      <c r="K163" s="2">
        <v>45908</v>
      </c>
    </row>
    <row r="164" spans="1:11">
      <c r="A164" t="s">
        <v>321</v>
      </c>
      <c r="B164" t="s">
        <v>4</v>
      </c>
      <c r="C164" t="s">
        <v>255</v>
      </c>
      <c r="D164" t="s">
        <v>268</v>
      </c>
      <c r="E164">
        <v>13</v>
      </c>
      <c r="F164">
        <v>45</v>
      </c>
      <c r="G164" t="s">
        <v>120</v>
      </c>
      <c r="H164">
        <v>16</v>
      </c>
      <c r="I164">
        <v>100566960</v>
      </c>
      <c r="J164" t="s">
        <v>353</v>
      </c>
      <c r="K164" s="2">
        <v>45908</v>
      </c>
    </row>
    <row r="165" spans="1:11">
      <c r="A165" t="s">
        <v>321</v>
      </c>
      <c r="B165" t="s">
        <v>4</v>
      </c>
      <c r="C165" t="s">
        <v>322</v>
      </c>
      <c r="D165" t="s">
        <v>256</v>
      </c>
      <c r="F165">
        <v>60</v>
      </c>
      <c r="G165" t="s">
        <v>168</v>
      </c>
      <c r="H165">
        <v>3</v>
      </c>
      <c r="I165">
        <v>2798</v>
      </c>
      <c r="J165" t="s">
        <v>387</v>
      </c>
      <c r="K165" s="2">
        <v>45908</v>
      </c>
    </row>
    <row r="166" spans="1:11">
      <c r="A166" t="s">
        <v>321</v>
      </c>
      <c r="B166" t="s">
        <v>4</v>
      </c>
      <c r="C166" t="s">
        <v>322</v>
      </c>
      <c r="D166" t="s">
        <v>270</v>
      </c>
      <c r="F166">
        <v>55</v>
      </c>
      <c r="G166" t="s">
        <v>152</v>
      </c>
      <c r="H166">
        <v>48</v>
      </c>
      <c r="I166">
        <v>9189</v>
      </c>
      <c r="J166" t="s">
        <v>345</v>
      </c>
      <c r="K166" s="2">
        <v>45908</v>
      </c>
    </row>
    <row r="167" spans="1:11">
      <c r="A167" t="s">
        <v>321</v>
      </c>
      <c r="B167" t="s">
        <v>4</v>
      </c>
      <c r="C167" t="s">
        <v>322</v>
      </c>
      <c r="D167" t="s">
        <v>327</v>
      </c>
      <c r="F167">
        <v>60</v>
      </c>
      <c r="G167" t="s">
        <v>168</v>
      </c>
      <c r="H167">
        <v>3</v>
      </c>
      <c r="I167" s="58" t="s">
        <v>378</v>
      </c>
      <c r="J167" t="s">
        <v>379</v>
      </c>
      <c r="K167" s="2">
        <v>45908</v>
      </c>
    </row>
    <row r="168" spans="1:11">
      <c r="A168" t="s">
        <v>321</v>
      </c>
      <c r="B168" t="s">
        <v>4</v>
      </c>
      <c r="C168" t="s">
        <v>322</v>
      </c>
      <c r="D168" t="s">
        <v>256</v>
      </c>
      <c r="F168">
        <v>74</v>
      </c>
      <c r="G168" t="s">
        <v>185</v>
      </c>
      <c r="H168">
        <v>32</v>
      </c>
      <c r="I168" s="58" t="s">
        <v>323</v>
      </c>
      <c r="J168" t="s">
        <v>324</v>
      </c>
      <c r="K168" s="2">
        <v>45908</v>
      </c>
    </row>
    <row r="169" spans="1:11">
      <c r="A169" t="s">
        <v>321</v>
      </c>
      <c r="B169" t="s">
        <v>4</v>
      </c>
      <c r="C169" t="s">
        <v>322</v>
      </c>
      <c r="D169" t="s">
        <v>256</v>
      </c>
      <c r="F169">
        <v>66</v>
      </c>
      <c r="G169" t="s">
        <v>186</v>
      </c>
      <c r="H169">
        <v>32</v>
      </c>
      <c r="I169" s="58" t="s">
        <v>323</v>
      </c>
      <c r="J169" t="s">
        <v>324</v>
      </c>
      <c r="K169" s="2">
        <v>45908</v>
      </c>
    </row>
    <row r="170" spans="1:11">
      <c r="A170" t="s">
        <v>321</v>
      </c>
      <c r="B170" t="s">
        <v>4</v>
      </c>
      <c r="C170" t="s">
        <v>322</v>
      </c>
      <c r="D170" t="s">
        <v>263</v>
      </c>
      <c r="F170">
        <v>76</v>
      </c>
      <c r="G170" t="s">
        <v>194</v>
      </c>
      <c r="H170">
        <v>67</v>
      </c>
      <c r="I170" s="58" t="s">
        <v>325</v>
      </c>
      <c r="J170" t="s">
        <v>326</v>
      </c>
      <c r="K170" s="2">
        <v>45908</v>
      </c>
    </row>
    <row r="171" spans="1:11">
      <c r="A171" t="s">
        <v>321</v>
      </c>
      <c r="B171" t="s">
        <v>4</v>
      </c>
      <c r="C171" t="s">
        <v>255</v>
      </c>
      <c r="D171" t="s">
        <v>263</v>
      </c>
      <c r="E171">
        <v>15</v>
      </c>
      <c r="F171">
        <v>25</v>
      </c>
      <c r="G171" t="s">
        <v>350</v>
      </c>
      <c r="H171">
        <v>103</v>
      </c>
      <c r="I171">
        <v>100565074</v>
      </c>
      <c r="J171" t="s">
        <v>351</v>
      </c>
      <c r="K171" s="2">
        <v>45908</v>
      </c>
    </row>
    <row r="172" spans="1:11">
      <c r="A172" t="s">
        <v>321</v>
      </c>
      <c r="B172" t="s">
        <v>4</v>
      </c>
      <c r="C172" t="s">
        <v>255</v>
      </c>
      <c r="D172" t="s">
        <v>270</v>
      </c>
      <c r="E172">
        <v>10</v>
      </c>
      <c r="F172">
        <v>47</v>
      </c>
      <c r="G172" t="s">
        <v>125</v>
      </c>
      <c r="H172">
        <v>20</v>
      </c>
      <c r="I172">
        <v>100566960</v>
      </c>
      <c r="J172" t="s">
        <v>353</v>
      </c>
      <c r="K172" s="2">
        <v>45908</v>
      </c>
    </row>
    <row r="173" spans="1:11">
      <c r="A173" t="s">
        <v>321</v>
      </c>
      <c r="B173" t="s">
        <v>4</v>
      </c>
      <c r="C173" t="s">
        <v>322</v>
      </c>
      <c r="D173" t="s">
        <v>256</v>
      </c>
      <c r="F173">
        <v>55</v>
      </c>
      <c r="G173" t="s">
        <v>152</v>
      </c>
      <c r="H173">
        <v>1</v>
      </c>
      <c r="I173">
        <v>1209</v>
      </c>
      <c r="J173" t="s">
        <v>341</v>
      </c>
      <c r="K173" s="2">
        <v>45908</v>
      </c>
    </row>
    <row r="174" spans="1:11">
      <c r="A174" t="s">
        <v>321</v>
      </c>
      <c r="B174" t="s">
        <v>4</v>
      </c>
      <c r="C174" t="s">
        <v>255</v>
      </c>
      <c r="D174" t="s">
        <v>270</v>
      </c>
      <c r="F174">
        <v>53</v>
      </c>
      <c r="G174" t="s">
        <v>143</v>
      </c>
      <c r="H174">
        <v>23</v>
      </c>
      <c r="I174">
        <v>1789</v>
      </c>
      <c r="J174" t="s">
        <v>342</v>
      </c>
      <c r="K174" s="2">
        <v>45908</v>
      </c>
    </row>
    <row r="175" spans="1:11">
      <c r="A175" t="s">
        <v>321</v>
      </c>
      <c r="B175" t="s">
        <v>4</v>
      </c>
      <c r="C175" t="s">
        <v>322</v>
      </c>
      <c r="D175" t="s">
        <v>270</v>
      </c>
      <c r="F175">
        <v>53</v>
      </c>
      <c r="G175" t="s">
        <v>143</v>
      </c>
      <c r="H175">
        <v>2</v>
      </c>
      <c r="I175">
        <v>1789</v>
      </c>
      <c r="J175" t="s">
        <v>342</v>
      </c>
      <c r="K175" s="2">
        <v>45908</v>
      </c>
    </row>
    <row r="176" spans="1:11">
      <c r="A176" t="s">
        <v>321</v>
      </c>
      <c r="B176" t="s">
        <v>4</v>
      </c>
      <c r="C176" t="s">
        <v>322</v>
      </c>
      <c r="D176" t="s">
        <v>268</v>
      </c>
      <c r="F176">
        <v>55</v>
      </c>
      <c r="G176" t="s">
        <v>152</v>
      </c>
      <c r="H176">
        <v>1</v>
      </c>
      <c r="I176">
        <v>1789</v>
      </c>
      <c r="J176" t="s">
        <v>342</v>
      </c>
      <c r="K176" s="2">
        <v>45908</v>
      </c>
    </row>
    <row r="177" spans="1:11">
      <c r="A177" t="s">
        <v>321</v>
      </c>
      <c r="B177" t="s">
        <v>4</v>
      </c>
      <c r="C177" t="s">
        <v>322</v>
      </c>
      <c r="D177" t="s">
        <v>327</v>
      </c>
      <c r="F177">
        <v>66</v>
      </c>
      <c r="G177" t="s">
        <v>186</v>
      </c>
      <c r="H177">
        <v>1</v>
      </c>
      <c r="I177">
        <v>4494</v>
      </c>
      <c r="J177" t="s">
        <v>344</v>
      </c>
      <c r="K177" s="2">
        <v>45908</v>
      </c>
    </row>
    <row r="178" spans="1:11">
      <c r="A178" t="s">
        <v>321</v>
      </c>
      <c r="B178" t="s">
        <v>4</v>
      </c>
      <c r="C178" t="s">
        <v>322</v>
      </c>
      <c r="D178" t="s">
        <v>256</v>
      </c>
      <c r="F178">
        <v>49</v>
      </c>
      <c r="G178" t="s">
        <v>132</v>
      </c>
      <c r="H178">
        <v>3</v>
      </c>
      <c r="I178">
        <v>9189</v>
      </c>
      <c r="J178" t="s">
        <v>345</v>
      </c>
      <c r="K178" s="2">
        <v>45908</v>
      </c>
    </row>
    <row r="179" spans="1:11">
      <c r="A179" t="s">
        <v>321</v>
      </c>
      <c r="B179" t="s">
        <v>4</v>
      </c>
      <c r="C179" t="s">
        <v>322</v>
      </c>
      <c r="D179" t="s">
        <v>263</v>
      </c>
      <c r="F179">
        <v>64</v>
      </c>
      <c r="G179" t="s">
        <v>178</v>
      </c>
      <c r="H179">
        <v>50</v>
      </c>
      <c r="I179" s="58" t="s">
        <v>323</v>
      </c>
      <c r="J179" t="s">
        <v>324</v>
      </c>
      <c r="K179" s="2">
        <v>45908</v>
      </c>
    </row>
    <row r="180" spans="1:11">
      <c r="A180" t="s">
        <v>321</v>
      </c>
      <c r="B180" t="s">
        <v>4</v>
      </c>
      <c r="C180" t="s">
        <v>322</v>
      </c>
      <c r="D180" t="s">
        <v>270</v>
      </c>
      <c r="F180">
        <v>74</v>
      </c>
      <c r="G180" t="s">
        <v>185</v>
      </c>
      <c r="H180">
        <v>88</v>
      </c>
      <c r="I180" s="58" t="s">
        <v>323</v>
      </c>
      <c r="J180" t="s">
        <v>324</v>
      </c>
      <c r="K180" s="2">
        <v>45908</v>
      </c>
    </row>
    <row r="181" spans="1:11">
      <c r="A181" t="s">
        <v>321</v>
      </c>
      <c r="B181" t="s">
        <v>4</v>
      </c>
      <c r="C181" t="s">
        <v>322</v>
      </c>
      <c r="D181" t="s">
        <v>270</v>
      </c>
      <c r="F181">
        <v>18</v>
      </c>
      <c r="G181" t="s">
        <v>112</v>
      </c>
      <c r="H181">
        <v>38</v>
      </c>
      <c r="I181" s="58" t="s">
        <v>348</v>
      </c>
      <c r="J181" t="s">
        <v>349</v>
      </c>
      <c r="K181" s="2">
        <v>45908</v>
      </c>
    </row>
    <row r="182" spans="1:11">
      <c r="A182" t="s">
        <v>321</v>
      </c>
      <c r="B182" t="s">
        <v>4</v>
      </c>
      <c r="C182" t="s">
        <v>322</v>
      </c>
      <c r="D182" t="s">
        <v>256</v>
      </c>
      <c r="F182">
        <v>46</v>
      </c>
      <c r="G182" t="s">
        <v>122</v>
      </c>
      <c r="H182">
        <v>4</v>
      </c>
      <c r="I182" s="58" t="s">
        <v>348</v>
      </c>
      <c r="J182" t="s">
        <v>349</v>
      </c>
      <c r="K182" s="2">
        <v>45908</v>
      </c>
    </row>
    <row r="183" spans="1:11">
      <c r="A183" t="s">
        <v>321</v>
      </c>
      <c r="B183" t="s">
        <v>331</v>
      </c>
      <c r="C183" t="s">
        <v>332</v>
      </c>
      <c r="D183" t="s">
        <v>256</v>
      </c>
      <c r="E183" t="s">
        <v>367</v>
      </c>
      <c r="F183">
        <v>91</v>
      </c>
      <c r="G183" t="s">
        <v>330</v>
      </c>
      <c r="H183">
        <v>90</v>
      </c>
      <c r="I183">
        <v>100565524</v>
      </c>
      <c r="J183" t="s">
        <v>334</v>
      </c>
      <c r="K183" s="2">
        <v>45908</v>
      </c>
    </row>
    <row r="184" spans="1:11">
      <c r="A184" t="s">
        <v>321</v>
      </c>
      <c r="B184" t="s">
        <v>4</v>
      </c>
      <c r="C184" t="s">
        <v>322</v>
      </c>
      <c r="D184" t="s">
        <v>270</v>
      </c>
      <c r="F184">
        <v>59</v>
      </c>
      <c r="G184" t="s">
        <v>166</v>
      </c>
      <c r="H184">
        <v>23</v>
      </c>
      <c r="I184">
        <v>3575</v>
      </c>
      <c r="J184" t="s">
        <v>372</v>
      </c>
      <c r="K184" s="2">
        <v>45908</v>
      </c>
    </row>
    <row r="185" spans="1:11">
      <c r="A185" t="s">
        <v>321</v>
      </c>
      <c r="B185" t="s">
        <v>4</v>
      </c>
      <c r="C185" t="s">
        <v>322</v>
      </c>
      <c r="D185" t="s">
        <v>268</v>
      </c>
      <c r="F185">
        <v>58</v>
      </c>
      <c r="G185" t="s">
        <v>164</v>
      </c>
      <c r="H185">
        <v>1</v>
      </c>
      <c r="I185">
        <v>4776</v>
      </c>
      <c r="J185" t="s">
        <v>373</v>
      </c>
      <c r="K185" s="2">
        <v>45908</v>
      </c>
    </row>
    <row r="186" spans="1:11">
      <c r="A186" t="s">
        <v>321</v>
      </c>
      <c r="B186" t="s">
        <v>4</v>
      </c>
      <c r="C186" t="s">
        <v>322</v>
      </c>
      <c r="D186" t="s">
        <v>256</v>
      </c>
      <c r="F186">
        <v>60</v>
      </c>
      <c r="G186" t="s">
        <v>168</v>
      </c>
      <c r="H186">
        <v>6</v>
      </c>
      <c r="I186">
        <v>7736</v>
      </c>
      <c r="J186" t="s">
        <v>362</v>
      </c>
      <c r="K186" s="2">
        <v>45908</v>
      </c>
    </row>
    <row r="187" spans="1:11">
      <c r="A187" t="s">
        <v>321</v>
      </c>
      <c r="B187" t="s">
        <v>4</v>
      </c>
      <c r="C187" t="s">
        <v>322</v>
      </c>
      <c r="D187" t="s">
        <v>256</v>
      </c>
      <c r="F187">
        <v>75</v>
      </c>
      <c r="G187" t="s">
        <v>354</v>
      </c>
      <c r="H187">
        <v>31</v>
      </c>
      <c r="I187">
        <v>8528</v>
      </c>
      <c r="J187" t="s">
        <v>363</v>
      </c>
      <c r="K187" s="2">
        <v>45908</v>
      </c>
    </row>
    <row r="188" spans="1:11">
      <c r="A188" t="s">
        <v>321</v>
      </c>
      <c r="B188" t="s">
        <v>4</v>
      </c>
      <c r="C188" t="s">
        <v>322</v>
      </c>
      <c r="D188" t="s">
        <v>327</v>
      </c>
      <c r="F188">
        <v>29</v>
      </c>
      <c r="G188" t="s">
        <v>100</v>
      </c>
      <c r="H188">
        <v>4</v>
      </c>
      <c r="I188">
        <v>8792</v>
      </c>
      <c r="J188" t="s">
        <v>364</v>
      </c>
      <c r="K188" s="2">
        <v>45908</v>
      </c>
    </row>
    <row r="189" spans="1:11">
      <c r="A189" t="s">
        <v>321</v>
      </c>
      <c r="B189" t="s">
        <v>4</v>
      </c>
      <c r="C189" t="s">
        <v>255</v>
      </c>
      <c r="D189" t="s">
        <v>270</v>
      </c>
      <c r="F189">
        <v>77</v>
      </c>
      <c r="G189" t="s">
        <v>162</v>
      </c>
      <c r="H189">
        <v>1</v>
      </c>
      <c r="I189">
        <v>2724</v>
      </c>
      <c r="J189" t="s">
        <v>343</v>
      </c>
      <c r="K189" s="2">
        <v>45908</v>
      </c>
    </row>
    <row r="190" spans="1:11">
      <c r="A190" t="s">
        <v>321</v>
      </c>
      <c r="B190" t="s">
        <v>4</v>
      </c>
      <c r="C190" t="s">
        <v>322</v>
      </c>
      <c r="D190" t="s">
        <v>263</v>
      </c>
      <c r="F190">
        <v>74</v>
      </c>
      <c r="G190" t="s">
        <v>185</v>
      </c>
      <c r="H190">
        <v>20</v>
      </c>
      <c r="I190">
        <v>4494</v>
      </c>
      <c r="J190" t="s">
        <v>344</v>
      </c>
      <c r="K190" s="2">
        <v>45908</v>
      </c>
    </row>
    <row r="191" spans="1:11">
      <c r="A191" t="s">
        <v>321</v>
      </c>
      <c r="B191" t="s">
        <v>4</v>
      </c>
      <c r="C191" t="s">
        <v>322</v>
      </c>
      <c r="D191" t="s">
        <v>263</v>
      </c>
      <c r="F191">
        <v>65</v>
      </c>
      <c r="G191" t="s">
        <v>182</v>
      </c>
      <c r="H191">
        <v>20</v>
      </c>
      <c r="I191">
        <v>4494</v>
      </c>
      <c r="J191" t="s">
        <v>344</v>
      </c>
      <c r="K191" s="2">
        <v>45908</v>
      </c>
    </row>
    <row r="192" spans="1:11">
      <c r="A192" t="s">
        <v>321</v>
      </c>
      <c r="B192" t="s">
        <v>4</v>
      </c>
      <c r="C192" t="s">
        <v>322</v>
      </c>
      <c r="D192" t="s">
        <v>327</v>
      </c>
      <c r="F192">
        <v>64</v>
      </c>
      <c r="G192" t="s">
        <v>178</v>
      </c>
      <c r="H192">
        <v>1</v>
      </c>
      <c r="I192">
        <v>4494</v>
      </c>
      <c r="J192" t="s">
        <v>344</v>
      </c>
      <c r="K192" s="2">
        <v>45908</v>
      </c>
    </row>
    <row r="193" spans="1:11">
      <c r="A193" t="s">
        <v>321</v>
      </c>
      <c r="B193" t="s">
        <v>4</v>
      </c>
      <c r="C193" t="s">
        <v>322</v>
      </c>
      <c r="D193" t="s">
        <v>268</v>
      </c>
      <c r="F193">
        <v>65</v>
      </c>
      <c r="G193" t="s">
        <v>182</v>
      </c>
      <c r="H193">
        <v>17</v>
      </c>
      <c r="I193">
        <v>4494</v>
      </c>
      <c r="J193" t="s">
        <v>344</v>
      </c>
      <c r="K193" s="2">
        <v>45908</v>
      </c>
    </row>
    <row r="194" spans="1:11">
      <c r="A194" t="s">
        <v>321</v>
      </c>
      <c r="B194" t="s">
        <v>4</v>
      </c>
      <c r="C194" t="s">
        <v>322</v>
      </c>
      <c r="D194" t="s">
        <v>256</v>
      </c>
      <c r="F194">
        <v>58</v>
      </c>
      <c r="G194" t="s">
        <v>164</v>
      </c>
      <c r="H194">
        <v>1</v>
      </c>
      <c r="I194">
        <v>4776</v>
      </c>
      <c r="J194" t="s">
        <v>373</v>
      </c>
      <c r="K194" s="2">
        <v>45908</v>
      </c>
    </row>
    <row r="195" spans="1:11">
      <c r="A195" t="s">
        <v>321</v>
      </c>
      <c r="B195" t="s">
        <v>4</v>
      </c>
      <c r="C195" t="s">
        <v>322</v>
      </c>
      <c r="D195" t="s">
        <v>263</v>
      </c>
      <c r="F195">
        <v>60</v>
      </c>
      <c r="G195" t="s">
        <v>168</v>
      </c>
      <c r="H195">
        <v>17</v>
      </c>
      <c r="I195">
        <v>9481</v>
      </c>
      <c r="J195" t="s">
        <v>346</v>
      </c>
      <c r="K195" s="2">
        <v>45908</v>
      </c>
    </row>
    <row r="196" spans="1:11">
      <c r="A196" t="s">
        <v>321</v>
      </c>
      <c r="B196" t="s">
        <v>4</v>
      </c>
      <c r="C196" t="s">
        <v>322</v>
      </c>
      <c r="D196" t="s">
        <v>263</v>
      </c>
      <c r="F196">
        <v>29</v>
      </c>
      <c r="G196" t="s">
        <v>100</v>
      </c>
      <c r="H196">
        <v>28</v>
      </c>
      <c r="I196" s="58" t="s">
        <v>383</v>
      </c>
      <c r="J196" t="s">
        <v>384</v>
      </c>
      <c r="K196" s="2">
        <v>45908</v>
      </c>
    </row>
    <row r="197" spans="1:11">
      <c r="A197" t="s">
        <v>321</v>
      </c>
      <c r="B197" t="s">
        <v>4</v>
      </c>
      <c r="C197" t="s">
        <v>322</v>
      </c>
      <c r="D197" t="s">
        <v>263</v>
      </c>
      <c r="F197">
        <v>42</v>
      </c>
      <c r="G197" t="s">
        <v>102</v>
      </c>
      <c r="H197">
        <v>67</v>
      </c>
      <c r="I197" s="58" t="s">
        <v>325</v>
      </c>
      <c r="J197" t="s">
        <v>326</v>
      </c>
      <c r="K197" s="2">
        <v>45908</v>
      </c>
    </row>
    <row r="198" spans="1:11">
      <c r="A198" t="s">
        <v>321</v>
      </c>
      <c r="B198" t="s">
        <v>4</v>
      </c>
      <c r="C198" t="s">
        <v>255</v>
      </c>
      <c r="D198" t="s">
        <v>256</v>
      </c>
      <c r="E198">
        <v>12</v>
      </c>
      <c r="F198">
        <v>50</v>
      </c>
      <c r="G198" t="s">
        <v>134</v>
      </c>
      <c r="H198">
        <v>7</v>
      </c>
      <c r="I198">
        <v>100563997</v>
      </c>
      <c r="J198" t="s">
        <v>380</v>
      </c>
      <c r="K198" s="2">
        <v>45908</v>
      </c>
    </row>
    <row r="199" spans="1:11">
      <c r="A199" t="s">
        <v>321</v>
      </c>
      <c r="B199" t="s">
        <v>4</v>
      </c>
      <c r="C199" t="s">
        <v>322</v>
      </c>
      <c r="D199" t="s">
        <v>270</v>
      </c>
      <c r="E199">
        <v>12</v>
      </c>
      <c r="F199">
        <v>50</v>
      </c>
      <c r="G199" t="s">
        <v>134</v>
      </c>
      <c r="H199">
        <v>7</v>
      </c>
      <c r="I199">
        <v>100565514</v>
      </c>
      <c r="J199" t="s">
        <v>326</v>
      </c>
      <c r="K199" s="2">
        <v>45908</v>
      </c>
    </row>
    <row r="200" spans="1:11">
      <c r="A200" t="s">
        <v>321</v>
      </c>
      <c r="B200" t="s">
        <v>4</v>
      </c>
      <c r="C200" t="s">
        <v>255</v>
      </c>
      <c r="D200" t="s">
        <v>256</v>
      </c>
      <c r="E200">
        <v>13</v>
      </c>
      <c r="F200">
        <v>78</v>
      </c>
      <c r="G200" t="s">
        <v>136</v>
      </c>
      <c r="H200">
        <v>306</v>
      </c>
      <c r="I200">
        <v>100566038</v>
      </c>
      <c r="J200" t="s">
        <v>382</v>
      </c>
      <c r="K200" s="2">
        <v>45908</v>
      </c>
    </row>
    <row r="201" spans="1:11">
      <c r="A201" t="s">
        <v>321</v>
      </c>
      <c r="B201" t="s">
        <v>4</v>
      </c>
      <c r="C201" t="s">
        <v>322</v>
      </c>
      <c r="D201" t="s">
        <v>256</v>
      </c>
      <c r="F201">
        <v>49</v>
      </c>
      <c r="G201" t="s">
        <v>132</v>
      </c>
      <c r="H201">
        <v>1</v>
      </c>
      <c r="I201">
        <v>1209</v>
      </c>
      <c r="J201" t="s">
        <v>341</v>
      </c>
      <c r="K201" s="2">
        <v>45908</v>
      </c>
    </row>
    <row r="202" spans="1:11">
      <c r="A202" t="s">
        <v>321</v>
      </c>
      <c r="B202" t="s">
        <v>4</v>
      </c>
      <c r="C202" t="s">
        <v>322</v>
      </c>
      <c r="D202" t="s">
        <v>263</v>
      </c>
      <c r="F202">
        <v>55</v>
      </c>
      <c r="G202" t="s">
        <v>152</v>
      </c>
      <c r="H202">
        <v>58</v>
      </c>
      <c r="I202">
        <v>1789</v>
      </c>
      <c r="J202" t="s">
        <v>342</v>
      </c>
      <c r="K202" s="2">
        <v>45908</v>
      </c>
    </row>
    <row r="203" spans="1:11">
      <c r="A203" t="s">
        <v>321</v>
      </c>
      <c r="B203" t="s">
        <v>4</v>
      </c>
      <c r="C203" t="s">
        <v>322</v>
      </c>
      <c r="D203" t="s">
        <v>268</v>
      </c>
      <c r="F203">
        <v>79</v>
      </c>
      <c r="G203" t="s">
        <v>159</v>
      </c>
      <c r="H203">
        <v>3</v>
      </c>
      <c r="I203">
        <v>2724</v>
      </c>
      <c r="J203" t="s">
        <v>343</v>
      </c>
      <c r="K203" s="2">
        <v>45908</v>
      </c>
    </row>
    <row r="204" spans="1:11">
      <c r="A204" t="s">
        <v>321</v>
      </c>
      <c r="B204" t="s">
        <v>4</v>
      </c>
      <c r="C204" t="s">
        <v>322</v>
      </c>
      <c r="D204" t="s">
        <v>327</v>
      </c>
      <c r="F204">
        <v>74</v>
      </c>
      <c r="G204" t="s">
        <v>185</v>
      </c>
      <c r="H204">
        <v>1</v>
      </c>
      <c r="I204">
        <v>4494</v>
      </c>
      <c r="J204" t="s">
        <v>344</v>
      </c>
      <c r="K204" s="2">
        <v>45908</v>
      </c>
    </row>
    <row r="205" spans="1:11">
      <c r="A205" t="s">
        <v>321</v>
      </c>
      <c r="B205" t="s">
        <v>4</v>
      </c>
      <c r="C205" t="s">
        <v>322</v>
      </c>
      <c r="D205" t="s">
        <v>327</v>
      </c>
      <c r="F205">
        <v>79</v>
      </c>
      <c r="G205" t="s">
        <v>159</v>
      </c>
      <c r="H205">
        <v>16</v>
      </c>
      <c r="I205">
        <v>4494</v>
      </c>
      <c r="J205" t="s">
        <v>344</v>
      </c>
      <c r="K205" s="2">
        <v>45908</v>
      </c>
    </row>
    <row r="206" spans="1:11">
      <c r="A206" t="s">
        <v>321</v>
      </c>
      <c r="B206" t="s">
        <v>4</v>
      </c>
      <c r="C206" t="s">
        <v>322</v>
      </c>
      <c r="D206" t="s">
        <v>270</v>
      </c>
      <c r="F206">
        <v>79</v>
      </c>
      <c r="G206" t="s">
        <v>159</v>
      </c>
      <c r="H206">
        <v>34</v>
      </c>
      <c r="I206">
        <v>6099</v>
      </c>
      <c r="J206" t="s">
        <v>374</v>
      </c>
      <c r="K206" s="2">
        <v>45908</v>
      </c>
    </row>
    <row r="207" spans="1:11">
      <c r="A207" t="s">
        <v>321</v>
      </c>
      <c r="B207" t="s">
        <v>4</v>
      </c>
      <c r="C207" t="s">
        <v>322</v>
      </c>
      <c r="D207" t="s">
        <v>327</v>
      </c>
      <c r="F207">
        <v>79</v>
      </c>
      <c r="G207" t="s">
        <v>159</v>
      </c>
      <c r="H207">
        <v>25</v>
      </c>
      <c r="I207">
        <v>6099</v>
      </c>
      <c r="J207" t="s">
        <v>374</v>
      </c>
      <c r="K207" s="2">
        <v>45908</v>
      </c>
    </row>
    <row r="208" spans="1:11">
      <c r="A208" t="s">
        <v>321</v>
      </c>
      <c r="B208" t="s">
        <v>4</v>
      </c>
      <c r="C208" t="s">
        <v>255</v>
      </c>
      <c r="D208" t="s">
        <v>270</v>
      </c>
      <c r="F208">
        <v>53</v>
      </c>
      <c r="G208" t="s">
        <v>143</v>
      </c>
      <c r="H208">
        <v>19</v>
      </c>
      <c r="I208">
        <v>6921</v>
      </c>
      <c r="J208" t="s">
        <v>361</v>
      </c>
      <c r="K208" s="2">
        <v>45908</v>
      </c>
    </row>
    <row r="209" spans="1:11">
      <c r="A209" t="s">
        <v>321</v>
      </c>
      <c r="B209" t="s">
        <v>4</v>
      </c>
      <c r="C209" t="s">
        <v>322</v>
      </c>
      <c r="D209" t="s">
        <v>256</v>
      </c>
      <c r="F209">
        <v>59</v>
      </c>
      <c r="G209" t="s">
        <v>166</v>
      </c>
      <c r="H209">
        <v>16</v>
      </c>
      <c r="I209">
        <v>9481</v>
      </c>
      <c r="J209" t="s">
        <v>346</v>
      </c>
      <c r="K209" s="2">
        <v>45908</v>
      </c>
    </row>
    <row r="210" spans="1:11">
      <c r="A210" t="s">
        <v>321</v>
      </c>
      <c r="B210" t="s">
        <v>4</v>
      </c>
      <c r="C210" t="s">
        <v>322</v>
      </c>
      <c r="D210" t="s">
        <v>256</v>
      </c>
      <c r="F210">
        <v>67</v>
      </c>
      <c r="G210" t="s">
        <v>188</v>
      </c>
      <c r="H210">
        <v>23</v>
      </c>
      <c r="I210" s="58" t="s">
        <v>383</v>
      </c>
      <c r="J210" t="s">
        <v>384</v>
      </c>
      <c r="K210" s="2">
        <v>45908</v>
      </c>
    </row>
    <row r="211" spans="1:11">
      <c r="A211" t="s">
        <v>321</v>
      </c>
      <c r="B211" t="s">
        <v>4</v>
      </c>
      <c r="C211" t="s">
        <v>322</v>
      </c>
      <c r="D211" t="s">
        <v>268</v>
      </c>
      <c r="F211">
        <v>74</v>
      </c>
      <c r="G211" t="s">
        <v>185</v>
      </c>
      <c r="H211">
        <v>23</v>
      </c>
      <c r="I211" s="58" t="s">
        <v>323</v>
      </c>
      <c r="J211" t="s">
        <v>324</v>
      </c>
      <c r="K211" s="2">
        <v>45908</v>
      </c>
    </row>
    <row r="212" spans="1:11">
      <c r="A212" t="s">
        <v>321</v>
      </c>
      <c r="B212" t="s">
        <v>4</v>
      </c>
      <c r="C212" t="s">
        <v>322</v>
      </c>
      <c r="D212" t="s">
        <v>268</v>
      </c>
      <c r="F212">
        <v>18</v>
      </c>
      <c r="G212" t="s">
        <v>112</v>
      </c>
      <c r="H212">
        <v>1</v>
      </c>
      <c r="I212" s="58" t="s">
        <v>348</v>
      </c>
      <c r="J212" t="s">
        <v>349</v>
      </c>
      <c r="K212" s="2">
        <v>45908</v>
      </c>
    </row>
    <row r="213" spans="1:11">
      <c r="A213" t="s">
        <v>321</v>
      </c>
      <c r="B213" t="s">
        <v>4</v>
      </c>
      <c r="C213" t="s">
        <v>322</v>
      </c>
      <c r="D213" t="s">
        <v>268</v>
      </c>
      <c r="F213">
        <v>42</v>
      </c>
      <c r="G213" t="s">
        <v>102</v>
      </c>
      <c r="H213">
        <v>67</v>
      </c>
      <c r="I213" s="58" t="s">
        <v>325</v>
      </c>
      <c r="J213" t="s">
        <v>326</v>
      </c>
      <c r="K213" s="2">
        <v>45908</v>
      </c>
    </row>
    <row r="214" spans="1:11">
      <c r="A214" t="s">
        <v>321</v>
      </c>
      <c r="B214" t="s">
        <v>4</v>
      </c>
      <c r="C214" t="s">
        <v>322</v>
      </c>
      <c r="D214" t="s">
        <v>256</v>
      </c>
      <c r="F214">
        <v>72</v>
      </c>
      <c r="G214" t="s">
        <v>200</v>
      </c>
      <c r="H214">
        <v>72</v>
      </c>
      <c r="I214" s="58" t="s">
        <v>385</v>
      </c>
      <c r="J214" t="s">
        <v>386</v>
      </c>
      <c r="K214" s="2">
        <v>45908</v>
      </c>
    </row>
    <row r="215" spans="1:11">
      <c r="A215" t="s">
        <v>321</v>
      </c>
      <c r="B215" t="s">
        <v>4</v>
      </c>
      <c r="C215" t="s">
        <v>322</v>
      </c>
      <c r="D215" t="s">
        <v>270</v>
      </c>
      <c r="E215">
        <v>11</v>
      </c>
      <c r="F215">
        <v>25</v>
      </c>
      <c r="G215" t="s">
        <v>350</v>
      </c>
      <c r="H215">
        <v>31</v>
      </c>
      <c r="I215">
        <v>100565074</v>
      </c>
      <c r="J215" t="s">
        <v>351</v>
      </c>
      <c r="K215" s="2">
        <v>45908</v>
      </c>
    </row>
    <row r="216" spans="1:11">
      <c r="A216" t="s">
        <v>321</v>
      </c>
      <c r="B216" t="s">
        <v>4</v>
      </c>
      <c r="C216" t="s">
        <v>255</v>
      </c>
      <c r="D216" t="s">
        <v>270</v>
      </c>
      <c r="E216">
        <v>14</v>
      </c>
      <c r="F216">
        <v>36</v>
      </c>
      <c r="G216" t="s">
        <v>347</v>
      </c>
      <c r="H216">
        <v>60</v>
      </c>
      <c r="I216">
        <v>100566563</v>
      </c>
      <c r="J216" t="s">
        <v>390</v>
      </c>
      <c r="K216" s="2">
        <v>45908</v>
      </c>
    </row>
    <row r="217" spans="1:11">
      <c r="A217" t="s">
        <v>321</v>
      </c>
      <c r="B217" t="s">
        <v>4</v>
      </c>
      <c r="C217" t="s">
        <v>322</v>
      </c>
      <c r="D217" t="s">
        <v>268</v>
      </c>
      <c r="F217">
        <v>120</v>
      </c>
      <c r="G217" t="s">
        <v>202</v>
      </c>
      <c r="H217">
        <v>64</v>
      </c>
      <c r="I217">
        <v>1393</v>
      </c>
      <c r="J217" t="s">
        <v>360</v>
      </c>
      <c r="K217" s="2">
        <v>45908</v>
      </c>
    </row>
    <row r="218" spans="1:11">
      <c r="A218" t="s">
        <v>321</v>
      </c>
      <c r="B218" t="s">
        <v>4</v>
      </c>
      <c r="C218" t="s">
        <v>322</v>
      </c>
      <c r="D218" t="s">
        <v>263</v>
      </c>
      <c r="F218">
        <v>58</v>
      </c>
      <c r="G218" t="s">
        <v>164</v>
      </c>
      <c r="H218">
        <v>1</v>
      </c>
      <c r="I218">
        <v>4776</v>
      </c>
      <c r="J218" t="s">
        <v>373</v>
      </c>
      <c r="K218" s="2">
        <v>45908</v>
      </c>
    </row>
    <row r="219" spans="1:11">
      <c r="A219" t="s">
        <v>321</v>
      </c>
      <c r="B219" t="s">
        <v>4</v>
      </c>
      <c r="C219" t="s">
        <v>322</v>
      </c>
      <c r="D219" t="s">
        <v>268</v>
      </c>
      <c r="F219">
        <v>60</v>
      </c>
      <c r="G219" t="s">
        <v>168</v>
      </c>
      <c r="H219">
        <v>5</v>
      </c>
      <c r="I219" s="58" t="s">
        <v>378</v>
      </c>
      <c r="J219" t="s">
        <v>379</v>
      </c>
      <c r="K219" s="2">
        <v>45908</v>
      </c>
    </row>
    <row r="220" spans="1:11">
      <c r="A220" t="s">
        <v>321</v>
      </c>
      <c r="B220" t="s">
        <v>4</v>
      </c>
      <c r="C220" t="s">
        <v>322</v>
      </c>
      <c r="D220" t="s">
        <v>327</v>
      </c>
      <c r="F220">
        <v>68</v>
      </c>
      <c r="G220" t="s">
        <v>191</v>
      </c>
      <c r="H220">
        <v>1</v>
      </c>
      <c r="I220" s="58" t="s">
        <v>383</v>
      </c>
      <c r="J220" t="s">
        <v>384</v>
      </c>
      <c r="K220" s="2">
        <v>45908</v>
      </c>
    </row>
    <row r="221" spans="1:11">
      <c r="A221" t="s">
        <v>321</v>
      </c>
      <c r="B221" t="s">
        <v>4</v>
      </c>
      <c r="C221" t="s">
        <v>322</v>
      </c>
      <c r="D221" t="s">
        <v>327</v>
      </c>
      <c r="F221">
        <v>65</v>
      </c>
      <c r="G221" t="s">
        <v>182</v>
      </c>
      <c r="H221">
        <v>6</v>
      </c>
      <c r="I221" s="58" t="s">
        <v>323</v>
      </c>
      <c r="J221" t="s">
        <v>324</v>
      </c>
      <c r="K221" s="2">
        <v>45908</v>
      </c>
    </row>
    <row r="222" spans="1:11">
      <c r="A222" t="s">
        <v>321</v>
      </c>
      <c r="B222" t="s">
        <v>4</v>
      </c>
      <c r="C222" t="s">
        <v>255</v>
      </c>
      <c r="D222" t="s">
        <v>270</v>
      </c>
      <c r="E222">
        <v>13</v>
      </c>
      <c r="F222">
        <v>50</v>
      </c>
      <c r="G222" t="s">
        <v>134</v>
      </c>
      <c r="H222">
        <v>119</v>
      </c>
      <c r="I222">
        <v>100566711</v>
      </c>
      <c r="J222" t="s">
        <v>375</v>
      </c>
      <c r="K222" s="2">
        <v>45908</v>
      </c>
    </row>
    <row r="223" spans="1:11">
      <c r="A223" t="s">
        <v>321</v>
      </c>
      <c r="B223" t="s">
        <v>4</v>
      </c>
      <c r="C223" t="s">
        <v>255</v>
      </c>
      <c r="D223" t="s">
        <v>327</v>
      </c>
      <c r="E223">
        <v>14</v>
      </c>
      <c r="F223">
        <v>47</v>
      </c>
      <c r="G223" t="s">
        <v>125</v>
      </c>
      <c r="H223">
        <v>74</v>
      </c>
      <c r="I223">
        <v>100566960</v>
      </c>
      <c r="J223" t="s">
        <v>353</v>
      </c>
      <c r="K223" s="2">
        <v>45908</v>
      </c>
    </row>
    <row r="224" spans="1:11">
      <c r="A224" t="s">
        <v>321</v>
      </c>
      <c r="B224" t="s">
        <v>4</v>
      </c>
      <c r="C224" t="s">
        <v>322</v>
      </c>
      <c r="D224" t="s">
        <v>327</v>
      </c>
      <c r="F224">
        <v>120</v>
      </c>
      <c r="G224" t="s">
        <v>202</v>
      </c>
      <c r="H224">
        <v>1</v>
      </c>
      <c r="I224">
        <v>1393</v>
      </c>
      <c r="J224" t="s">
        <v>360</v>
      </c>
      <c r="K224" s="2">
        <v>45908</v>
      </c>
    </row>
    <row r="225" spans="1:11">
      <c r="A225" t="s">
        <v>321</v>
      </c>
      <c r="B225" t="s">
        <v>4</v>
      </c>
      <c r="C225" t="s">
        <v>322</v>
      </c>
      <c r="D225" t="s">
        <v>263</v>
      </c>
      <c r="F225">
        <v>49</v>
      </c>
      <c r="G225" t="s">
        <v>132</v>
      </c>
      <c r="H225">
        <v>58</v>
      </c>
      <c r="I225">
        <v>1789</v>
      </c>
      <c r="J225" t="s">
        <v>342</v>
      </c>
      <c r="K225" s="2">
        <v>45908</v>
      </c>
    </row>
    <row r="226" spans="1:11">
      <c r="A226" t="s">
        <v>321</v>
      </c>
      <c r="B226" t="s">
        <v>4</v>
      </c>
      <c r="C226" t="s">
        <v>322</v>
      </c>
      <c r="D226" t="s">
        <v>268</v>
      </c>
      <c r="F226">
        <v>75</v>
      </c>
      <c r="G226" t="s">
        <v>354</v>
      </c>
      <c r="H226">
        <v>15</v>
      </c>
      <c r="I226">
        <v>2269</v>
      </c>
      <c r="J226" t="s">
        <v>355</v>
      </c>
      <c r="K226" s="2">
        <v>45908</v>
      </c>
    </row>
    <row r="227" spans="1:11">
      <c r="A227" t="s">
        <v>321</v>
      </c>
      <c r="B227" t="s">
        <v>4</v>
      </c>
      <c r="C227" t="s">
        <v>322</v>
      </c>
      <c r="D227" t="s">
        <v>256</v>
      </c>
      <c r="F227">
        <v>60</v>
      </c>
      <c r="G227" t="s">
        <v>168</v>
      </c>
      <c r="H227">
        <v>10</v>
      </c>
      <c r="I227" s="58" t="s">
        <v>378</v>
      </c>
      <c r="J227" t="s">
        <v>379</v>
      </c>
      <c r="K227" s="2">
        <v>45908</v>
      </c>
    </row>
    <row r="228" spans="1:11">
      <c r="A228" t="s">
        <v>321</v>
      </c>
      <c r="B228" t="s">
        <v>4</v>
      </c>
      <c r="C228" t="s">
        <v>322</v>
      </c>
      <c r="D228" t="s">
        <v>263</v>
      </c>
      <c r="F228">
        <v>60</v>
      </c>
      <c r="G228" t="s">
        <v>168</v>
      </c>
      <c r="H228">
        <v>22</v>
      </c>
      <c r="I228" s="58" t="s">
        <v>365</v>
      </c>
      <c r="J228" t="s">
        <v>366</v>
      </c>
      <c r="K228" s="2">
        <v>45908</v>
      </c>
    </row>
    <row r="229" spans="1:11">
      <c r="A229" t="s">
        <v>321</v>
      </c>
      <c r="B229" t="s">
        <v>4</v>
      </c>
      <c r="C229" t="s">
        <v>322</v>
      </c>
      <c r="D229" t="s">
        <v>327</v>
      </c>
      <c r="E229">
        <v>12</v>
      </c>
      <c r="F229">
        <v>50</v>
      </c>
      <c r="G229" t="s">
        <v>134</v>
      </c>
      <c r="H229">
        <v>7</v>
      </c>
      <c r="I229">
        <v>100565514</v>
      </c>
      <c r="J229" t="s">
        <v>326</v>
      </c>
      <c r="K229" s="2">
        <v>45908</v>
      </c>
    </row>
    <row r="230" spans="1:11">
      <c r="A230" t="s">
        <v>321</v>
      </c>
      <c r="B230" t="s">
        <v>4</v>
      </c>
      <c r="C230" t="s">
        <v>255</v>
      </c>
      <c r="D230" t="s">
        <v>270</v>
      </c>
      <c r="E230">
        <v>13</v>
      </c>
      <c r="F230">
        <v>47</v>
      </c>
      <c r="G230" t="s">
        <v>125</v>
      </c>
      <c r="H230">
        <v>54</v>
      </c>
      <c r="I230">
        <v>100566960</v>
      </c>
      <c r="J230" t="s">
        <v>353</v>
      </c>
      <c r="K230" s="2">
        <v>45908</v>
      </c>
    </row>
    <row r="231" spans="1:11">
      <c r="A231" t="s">
        <v>321</v>
      </c>
      <c r="B231" t="s">
        <v>4</v>
      </c>
      <c r="C231" t="s">
        <v>322</v>
      </c>
      <c r="D231" t="s">
        <v>270</v>
      </c>
      <c r="F231">
        <v>48</v>
      </c>
      <c r="G231" t="s">
        <v>128</v>
      </c>
      <c r="H231">
        <v>18</v>
      </c>
      <c r="I231">
        <v>6872</v>
      </c>
      <c r="J231" t="s">
        <v>375</v>
      </c>
      <c r="K231" s="2">
        <v>45908</v>
      </c>
    </row>
    <row r="232" spans="1:11">
      <c r="A232" t="s">
        <v>321</v>
      </c>
      <c r="B232" t="s">
        <v>4</v>
      </c>
      <c r="C232" t="s">
        <v>322</v>
      </c>
      <c r="D232" t="s">
        <v>270</v>
      </c>
      <c r="F232">
        <v>53</v>
      </c>
      <c r="G232" t="s">
        <v>143</v>
      </c>
      <c r="H232">
        <v>11</v>
      </c>
      <c r="I232">
        <v>6921</v>
      </c>
      <c r="J232" t="s">
        <v>361</v>
      </c>
      <c r="K232" s="2">
        <v>45908</v>
      </c>
    </row>
    <row r="233" spans="1:11">
      <c r="A233" t="s">
        <v>321</v>
      </c>
      <c r="B233" t="s">
        <v>4</v>
      </c>
      <c r="C233" t="s">
        <v>322</v>
      </c>
      <c r="D233" t="s">
        <v>256</v>
      </c>
      <c r="F233">
        <v>53</v>
      </c>
      <c r="G233" t="s">
        <v>143</v>
      </c>
      <c r="H233">
        <v>2</v>
      </c>
      <c r="I233">
        <v>6921</v>
      </c>
      <c r="J233" t="s">
        <v>361</v>
      </c>
      <c r="K233" s="2">
        <v>45908</v>
      </c>
    </row>
    <row r="234" spans="1:11">
      <c r="A234" t="s">
        <v>321</v>
      </c>
      <c r="B234" t="s">
        <v>4</v>
      </c>
      <c r="C234" t="s">
        <v>322</v>
      </c>
      <c r="D234" t="s">
        <v>263</v>
      </c>
      <c r="F234">
        <v>59</v>
      </c>
      <c r="G234" t="s">
        <v>166</v>
      </c>
      <c r="H234">
        <v>9</v>
      </c>
      <c r="I234">
        <v>7736</v>
      </c>
      <c r="J234" t="s">
        <v>362</v>
      </c>
      <c r="K234" s="2">
        <v>45908</v>
      </c>
    </row>
    <row r="235" spans="1:11">
      <c r="A235" t="s">
        <v>321</v>
      </c>
      <c r="B235" t="s">
        <v>4</v>
      </c>
      <c r="C235" t="s">
        <v>322</v>
      </c>
      <c r="D235" t="s">
        <v>270</v>
      </c>
      <c r="F235">
        <v>68</v>
      </c>
      <c r="G235" t="s">
        <v>191</v>
      </c>
      <c r="H235">
        <v>54</v>
      </c>
      <c r="I235" s="58" t="s">
        <v>383</v>
      </c>
      <c r="J235" t="s">
        <v>384</v>
      </c>
      <c r="K235" s="2">
        <v>45908</v>
      </c>
    </row>
    <row r="236" spans="1:11">
      <c r="A236" t="s">
        <v>321</v>
      </c>
      <c r="B236" t="s">
        <v>4</v>
      </c>
      <c r="C236" t="s">
        <v>322</v>
      </c>
      <c r="D236" t="s">
        <v>268</v>
      </c>
      <c r="F236">
        <v>65</v>
      </c>
      <c r="G236" t="s">
        <v>182</v>
      </c>
      <c r="H236">
        <v>23</v>
      </c>
      <c r="I236" s="58" t="s">
        <v>323</v>
      </c>
      <c r="J236" t="s">
        <v>324</v>
      </c>
      <c r="K236" s="2">
        <v>45908</v>
      </c>
    </row>
    <row r="237" spans="1:11">
      <c r="A237" t="s">
        <v>321</v>
      </c>
      <c r="B237" t="s">
        <v>4</v>
      </c>
      <c r="C237" t="s">
        <v>322</v>
      </c>
      <c r="D237" t="s">
        <v>270</v>
      </c>
      <c r="F237">
        <v>59</v>
      </c>
      <c r="G237" t="s">
        <v>166</v>
      </c>
      <c r="H237">
        <v>18</v>
      </c>
      <c r="I237" s="58" t="s">
        <v>365</v>
      </c>
      <c r="J237" t="s">
        <v>366</v>
      </c>
      <c r="K237" s="2">
        <v>45908</v>
      </c>
    </row>
    <row r="238" spans="1:11">
      <c r="A238" t="s">
        <v>321</v>
      </c>
      <c r="B238" t="s">
        <v>4</v>
      </c>
      <c r="C238" t="s">
        <v>322</v>
      </c>
      <c r="D238" t="s">
        <v>270</v>
      </c>
      <c r="F238">
        <v>27</v>
      </c>
      <c r="G238" t="s">
        <v>157</v>
      </c>
      <c r="H238">
        <v>15</v>
      </c>
      <c r="I238" s="58" t="s">
        <v>376</v>
      </c>
      <c r="J238" t="s">
        <v>377</v>
      </c>
      <c r="K238" s="2">
        <v>45908</v>
      </c>
    </row>
    <row r="239" spans="1:11">
      <c r="A239" t="s">
        <v>321</v>
      </c>
      <c r="B239" t="s">
        <v>4</v>
      </c>
      <c r="C239" t="s">
        <v>322</v>
      </c>
      <c r="D239" t="s">
        <v>263</v>
      </c>
      <c r="F239">
        <v>58</v>
      </c>
      <c r="G239" t="s">
        <v>164</v>
      </c>
      <c r="H239">
        <v>53</v>
      </c>
      <c r="I239" s="58" t="s">
        <v>328</v>
      </c>
      <c r="J239" t="s">
        <v>329</v>
      </c>
      <c r="K239" s="2">
        <v>45908</v>
      </c>
    </row>
    <row r="240" spans="1:11">
      <c r="A240" t="s">
        <v>321</v>
      </c>
      <c r="B240" t="s">
        <v>4</v>
      </c>
      <c r="C240" t="s">
        <v>255</v>
      </c>
      <c r="D240" t="s">
        <v>256</v>
      </c>
      <c r="E240">
        <v>13</v>
      </c>
      <c r="F240">
        <v>25</v>
      </c>
      <c r="G240" t="s">
        <v>350</v>
      </c>
      <c r="H240">
        <v>306</v>
      </c>
      <c r="I240">
        <v>100565074</v>
      </c>
      <c r="J240" t="s">
        <v>351</v>
      </c>
      <c r="K240" s="2">
        <v>45908</v>
      </c>
    </row>
    <row r="241" spans="1:11">
      <c r="A241" t="s">
        <v>321</v>
      </c>
      <c r="B241" t="s">
        <v>4</v>
      </c>
      <c r="C241" t="s">
        <v>255</v>
      </c>
      <c r="D241" t="s">
        <v>270</v>
      </c>
      <c r="E241">
        <v>10</v>
      </c>
      <c r="F241">
        <v>17</v>
      </c>
      <c r="G241" t="s">
        <v>110</v>
      </c>
      <c r="H241">
        <v>66</v>
      </c>
      <c r="I241">
        <v>100566560</v>
      </c>
      <c r="J241" t="s">
        <v>336</v>
      </c>
      <c r="K241" s="2">
        <v>45908</v>
      </c>
    </row>
    <row r="242" spans="1:11">
      <c r="A242" t="s">
        <v>321</v>
      </c>
      <c r="B242" t="s">
        <v>4</v>
      </c>
      <c r="C242" t="s">
        <v>322</v>
      </c>
      <c r="D242" t="s">
        <v>256</v>
      </c>
      <c r="F242">
        <v>77</v>
      </c>
      <c r="G242" t="s">
        <v>162</v>
      </c>
      <c r="H242">
        <v>22</v>
      </c>
      <c r="I242">
        <v>2724</v>
      </c>
      <c r="J242" t="s">
        <v>343</v>
      </c>
      <c r="K242" s="2">
        <v>45908</v>
      </c>
    </row>
    <row r="243" spans="1:11">
      <c r="A243" t="s">
        <v>321</v>
      </c>
      <c r="B243" t="s">
        <v>4</v>
      </c>
      <c r="C243" t="s">
        <v>322</v>
      </c>
      <c r="D243" t="s">
        <v>263</v>
      </c>
      <c r="F243">
        <v>75</v>
      </c>
      <c r="G243" t="s">
        <v>354</v>
      </c>
      <c r="H243">
        <v>45</v>
      </c>
      <c r="I243">
        <v>8528</v>
      </c>
      <c r="J243" t="s">
        <v>363</v>
      </c>
      <c r="K243" s="2">
        <v>45908</v>
      </c>
    </row>
    <row r="244" spans="1:11">
      <c r="A244" t="s">
        <v>321</v>
      </c>
      <c r="B244" t="s">
        <v>4</v>
      </c>
      <c r="C244" t="s">
        <v>322</v>
      </c>
      <c r="D244" t="s">
        <v>256</v>
      </c>
      <c r="F244">
        <v>56</v>
      </c>
      <c r="G244" t="s">
        <v>154</v>
      </c>
      <c r="H244">
        <v>3</v>
      </c>
      <c r="I244">
        <v>9189</v>
      </c>
      <c r="J244" t="s">
        <v>345</v>
      </c>
      <c r="K244" s="2">
        <v>45908</v>
      </c>
    </row>
    <row r="245" spans="1:11">
      <c r="A245" t="s">
        <v>321</v>
      </c>
      <c r="B245" t="s">
        <v>4</v>
      </c>
      <c r="C245" t="s">
        <v>322</v>
      </c>
      <c r="D245" t="s">
        <v>270</v>
      </c>
      <c r="F245">
        <v>64</v>
      </c>
      <c r="G245" t="s">
        <v>178</v>
      </c>
      <c r="H245">
        <v>88</v>
      </c>
      <c r="I245" s="58" t="s">
        <v>323</v>
      </c>
      <c r="J245" t="s">
        <v>324</v>
      </c>
      <c r="K245" s="2">
        <v>45908</v>
      </c>
    </row>
    <row r="246" spans="1:11">
      <c r="A246" t="s">
        <v>321</v>
      </c>
      <c r="B246" t="s">
        <v>4</v>
      </c>
      <c r="C246" t="s">
        <v>322</v>
      </c>
      <c r="D246" t="s">
        <v>268</v>
      </c>
      <c r="F246">
        <v>64</v>
      </c>
      <c r="G246" t="s">
        <v>178</v>
      </c>
      <c r="H246">
        <v>23</v>
      </c>
      <c r="I246" s="58" t="s">
        <v>323</v>
      </c>
      <c r="J246" t="s">
        <v>324</v>
      </c>
      <c r="K246" s="2">
        <v>45908</v>
      </c>
    </row>
    <row r="247" spans="1:11">
      <c r="A247" t="s">
        <v>321</v>
      </c>
      <c r="B247" t="s">
        <v>4</v>
      </c>
      <c r="C247" t="s">
        <v>322</v>
      </c>
      <c r="D247" t="s">
        <v>327</v>
      </c>
      <c r="F247">
        <v>69</v>
      </c>
      <c r="G247" t="s">
        <v>193</v>
      </c>
      <c r="H247">
        <v>3</v>
      </c>
      <c r="I247" s="58" t="s">
        <v>325</v>
      </c>
      <c r="J247" t="s">
        <v>326</v>
      </c>
      <c r="K247" s="2">
        <v>45908</v>
      </c>
    </row>
    <row r="248" spans="1:11">
      <c r="A248" t="s">
        <v>321</v>
      </c>
      <c r="B248" t="s">
        <v>4</v>
      </c>
      <c r="C248" t="s">
        <v>255</v>
      </c>
      <c r="D248" t="s">
        <v>263</v>
      </c>
      <c r="E248">
        <v>14</v>
      </c>
      <c r="F248">
        <v>78</v>
      </c>
      <c r="G248" t="s">
        <v>136</v>
      </c>
      <c r="H248">
        <v>58</v>
      </c>
      <c r="I248">
        <v>100566038</v>
      </c>
      <c r="J248" t="s">
        <v>382</v>
      </c>
      <c r="K248" s="2">
        <v>45908</v>
      </c>
    </row>
    <row r="249" spans="1:11">
      <c r="A249" t="s">
        <v>321</v>
      </c>
      <c r="B249" t="s">
        <v>4</v>
      </c>
      <c r="C249" t="s">
        <v>255</v>
      </c>
      <c r="D249" t="s">
        <v>270</v>
      </c>
      <c r="E249">
        <v>10</v>
      </c>
      <c r="F249">
        <v>57</v>
      </c>
      <c r="G249" t="s">
        <v>335</v>
      </c>
      <c r="H249">
        <v>66</v>
      </c>
      <c r="I249">
        <v>100566560</v>
      </c>
      <c r="J249" t="s">
        <v>336</v>
      </c>
      <c r="K249" s="2">
        <v>45908</v>
      </c>
    </row>
    <row r="250" spans="1:11">
      <c r="A250" t="s">
        <v>321</v>
      </c>
      <c r="B250" t="s">
        <v>4</v>
      </c>
      <c r="C250" t="s">
        <v>255</v>
      </c>
      <c r="D250" t="s">
        <v>270</v>
      </c>
      <c r="E250">
        <v>14</v>
      </c>
      <c r="F250">
        <v>25</v>
      </c>
      <c r="G250" t="s">
        <v>350</v>
      </c>
      <c r="H250">
        <v>60</v>
      </c>
      <c r="I250">
        <v>100566563</v>
      </c>
      <c r="J250" t="s">
        <v>390</v>
      </c>
      <c r="K250" s="2">
        <v>45908</v>
      </c>
    </row>
    <row r="251" spans="1:11">
      <c r="A251" t="s">
        <v>321</v>
      </c>
      <c r="B251" t="s">
        <v>331</v>
      </c>
      <c r="C251" t="s">
        <v>337</v>
      </c>
      <c r="D251" t="s">
        <v>270</v>
      </c>
      <c r="E251" t="s">
        <v>391</v>
      </c>
      <c r="F251">
        <v>30</v>
      </c>
      <c r="G251" t="s">
        <v>339</v>
      </c>
      <c r="H251">
        <v>10</v>
      </c>
      <c r="I251">
        <v>100566810</v>
      </c>
      <c r="J251" t="s">
        <v>340</v>
      </c>
      <c r="K251" s="2">
        <v>45908</v>
      </c>
    </row>
    <row r="252" spans="1:11">
      <c r="A252" t="s">
        <v>321</v>
      </c>
      <c r="B252" t="s">
        <v>4</v>
      </c>
      <c r="C252" t="s">
        <v>322</v>
      </c>
      <c r="D252" t="s">
        <v>270</v>
      </c>
      <c r="F252">
        <v>77</v>
      </c>
      <c r="G252" t="s">
        <v>162</v>
      </c>
      <c r="H252">
        <v>5</v>
      </c>
      <c r="I252">
        <v>1209</v>
      </c>
      <c r="J252" t="s">
        <v>341</v>
      </c>
      <c r="K252" s="2">
        <v>45908</v>
      </c>
    </row>
    <row r="253" spans="1:11">
      <c r="A253" t="s">
        <v>321</v>
      </c>
      <c r="B253" t="s">
        <v>4</v>
      </c>
      <c r="C253" t="s">
        <v>322</v>
      </c>
      <c r="D253" t="s">
        <v>270</v>
      </c>
      <c r="F253">
        <v>74</v>
      </c>
      <c r="G253" t="s">
        <v>185</v>
      </c>
      <c r="H253">
        <v>52</v>
      </c>
      <c r="I253">
        <v>4494</v>
      </c>
      <c r="J253" t="s">
        <v>344</v>
      </c>
      <c r="K253" s="2">
        <v>45908</v>
      </c>
    </row>
    <row r="254" spans="1:11">
      <c r="A254" t="s">
        <v>321</v>
      </c>
      <c r="B254" t="s">
        <v>4</v>
      </c>
      <c r="C254" t="s">
        <v>322</v>
      </c>
      <c r="D254" t="s">
        <v>270</v>
      </c>
      <c r="F254">
        <v>72</v>
      </c>
      <c r="G254" t="s">
        <v>200</v>
      </c>
      <c r="H254">
        <v>43</v>
      </c>
      <c r="I254">
        <v>678</v>
      </c>
      <c r="J254" t="s">
        <v>388</v>
      </c>
      <c r="K254" s="2">
        <v>45908</v>
      </c>
    </row>
    <row r="255" spans="1:11">
      <c r="A255" t="s">
        <v>321</v>
      </c>
      <c r="B255" t="s">
        <v>4</v>
      </c>
      <c r="C255" t="s">
        <v>322</v>
      </c>
      <c r="D255" t="s">
        <v>270</v>
      </c>
      <c r="F255">
        <v>48</v>
      </c>
      <c r="G255" t="s">
        <v>128</v>
      </c>
      <c r="H255">
        <v>11</v>
      </c>
      <c r="I255">
        <v>6921</v>
      </c>
      <c r="J255" t="s">
        <v>361</v>
      </c>
      <c r="K255" s="2">
        <v>45908</v>
      </c>
    </row>
    <row r="256" spans="1:11">
      <c r="A256" t="s">
        <v>321</v>
      </c>
      <c r="B256" t="s">
        <v>4</v>
      </c>
      <c r="C256" t="s">
        <v>322</v>
      </c>
      <c r="D256" t="s">
        <v>256</v>
      </c>
      <c r="F256">
        <v>48</v>
      </c>
      <c r="G256" t="s">
        <v>128</v>
      </c>
      <c r="H256">
        <v>2</v>
      </c>
      <c r="I256">
        <v>6921</v>
      </c>
      <c r="J256" t="s">
        <v>361</v>
      </c>
      <c r="K256" s="2">
        <v>45908</v>
      </c>
    </row>
    <row r="257" spans="1:11">
      <c r="A257" t="s">
        <v>321</v>
      </c>
      <c r="B257" t="s">
        <v>4</v>
      </c>
      <c r="C257" t="s">
        <v>322</v>
      </c>
      <c r="D257" t="s">
        <v>268</v>
      </c>
      <c r="F257">
        <v>60</v>
      </c>
      <c r="G257" t="s">
        <v>168</v>
      </c>
      <c r="H257">
        <v>1</v>
      </c>
      <c r="I257">
        <v>9481</v>
      </c>
      <c r="J257" t="s">
        <v>346</v>
      </c>
      <c r="K257" s="2">
        <v>45908</v>
      </c>
    </row>
    <row r="258" spans="1:11">
      <c r="A258" t="s">
        <v>321</v>
      </c>
      <c r="B258" t="s">
        <v>4</v>
      </c>
      <c r="C258" t="s">
        <v>322</v>
      </c>
      <c r="D258" t="s">
        <v>270</v>
      </c>
      <c r="F258">
        <v>77</v>
      </c>
      <c r="G258" t="s">
        <v>162</v>
      </c>
      <c r="H258">
        <v>16</v>
      </c>
      <c r="I258" s="58" t="s">
        <v>368</v>
      </c>
      <c r="J258" t="s">
        <v>369</v>
      </c>
      <c r="K258" s="2">
        <v>45908</v>
      </c>
    </row>
    <row r="259" spans="1:11">
      <c r="A259" t="s">
        <v>321</v>
      </c>
      <c r="B259" t="s">
        <v>4</v>
      </c>
      <c r="C259" t="s">
        <v>322</v>
      </c>
      <c r="D259" t="s">
        <v>268</v>
      </c>
      <c r="F259">
        <v>46</v>
      </c>
      <c r="G259" t="s">
        <v>122</v>
      </c>
      <c r="H259">
        <v>1</v>
      </c>
      <c r="I259" s="58" t="s">
        <v>348</v>
      </c>
      <c r="J259" t="s">
        <v>349</v>
      </c>
      <c r="K259" s="2">
        <v>45908</v>
      </c>
    </row>
    <row r="260" spans="1:11">
      <c r="A260" t="s">
        <v>321</v>
      </c>
      <c r="B260" t="s">
        <v>4</v>
      </c>
      <c r="C260" t="s">
        <v>322</v>
      </c>
      <c r="D260" t="s">
        <v>270</v>
      </c>
      <c r="F260">
        <v>58</v>
      </c>
      <c r="G260" t="s">
        <v>164</v>
      </c>
      <c r="H260">
        <v>73</v>
      </c>
      <c r="I260" s="58" t="s">
        <v>328</v>
      </c>
      <c r="J260" t="s">
        <v>329</v>
      </c>
      <c r="K260" s="2">
        <v>45908</v>
      </c>
    </row>
    <row r="261" spans="1:11">
      <c r="A261" t="s">
        <v>321</v>
      </c>
      <c r="B261" t="s">
        <v>4</v>
      </c>
      <c r="C261" t="s">
        <v>322</v>
      </c>
      <c r="D261" t="s">
        <v>270</v>
      </c>
      <c r="E261">
        <v>11</v>
      </c>
      <c r="F261">
        <v>36</v>
      </c>
      <c r="G261" t="s">
        <v>347</v>
      </c>
      <c r="H261">
        <v>31</v>
      </c>
      <c r="I261">
        <v>100565074</v>
      </c>
      <c r="J261" t="s">
        <v>351</v>
      </c>
      <c r="K261" s="2">
        <v>45908</v>
      </c>
    </row>
    <row r="262" spans="1:11">
      <c r="A262" t="s">
        <v>321</v>
      </c>
      <c r="B262" t="s">
        <v>4</v>
      </c>
      <c r="C262" t="s">
        <v>255</v>
      </c>
      <c r="D262" t="s">
        <v>256</v>
      </c>
      <c r="E262">
        <v>13</v>
      </c>
      <c r="F262">
        <v>36</v>
      </c>
      <c r="G262" t="s">
        <v>347</v>
      </c>
      <c r="H262">
        <v>306</v>
      </c>
      <c r="I262">
        <v>100565074</v>
      </c>
      <c r="J262" t="s">
        <v>351</v>
      </c>
      <c r="K262" s="2">
        <v>45908</v>
      </c>
    </row>
    <row r="263" spans="1:11">
      <c r="A263" t="s">
        <v>321</v>
      </c>
      <c r="B263" t="s">
        <v>331</v>
      </c>
      <c r="C263" t="s">
        <v>332</v>
      </c>
      <c r="D263" t="s">
        <v>358</v>
      </c>
      <c r="E263" t="s">
        <v>352</v>
      </c>
      <c r="F263">
        <v>91</v>
      </c>
      <c r="G263" t="s">
        <v>330</v>
      </c>
      <c r="H263">
        <v>63</v>
      </c>
      <c r="I263">
        <v>100565524</v>
      </c>
      <c r="J263" t="s">
        <v>334</v>
      </c>
      <c r="K263" s="2">
        <v>45908</v>
      </c>
    </row>
    <row r="264" spans="1:11">
      <c r="A264" t="s">
        <v>321</v>
      </c>
      <c r="B264" t="s">
        <v>4</v>
      </c>
      <c r="C264" t="s">
        <v>255</v>
      </c>
      <c r="D264" t="s">
        <v>263</v>
      </c>
      <c r="E264">
        <v>15</v>
      </c>
      <c r="F264">
        <v>39</v>
      </c>
      <c r="G264" t="s">
        <v>105</v>
      </c>
      <c r="H264">
        <v>103</v>
      </c>
      <c r="I264">
        <v>100566810</v>
      </c>
      <c r="J264" t="s">
        <v>340</v>
      </c>
      <c r="K264" s="2">
        <v>45908</v>
      </c>
    </row>
    <row r="265" spans="1:11">
      <c r="A265" t="s">
        <v>321</v>
      </c>
      <c r="B265" t="s">
        <v>4</v>
      </c>
      <c r="C265" t="s">
        <v>322</v>
      </c>
      <c r="D265" t="s">
        <v>270</v>
      </c>
      <c r="F265">
        <v>56</v>
      </c>
      <c r="G265" t="s">
        <v>154</v>
      </c>
      <c r="H265">
        <v>3</v>
      </c>
      <c r="I265">
        <v>1209</v>
      </c>
      <c r="J265" t="s">
        <v>341</v>
      </c>
      <c r="K265" s="2">
        <v>45908</v>
      </c>
    </row>
    <row r="266" spans="1:11">
      <c r="A266" t="s">
        <v>321</v>
      </c>
      <c r="B266" t="s">
        <v>4</v>
      </c>
      <c r="C266" t="s">
        <v>322</v>
      </c>
      <c r="D266" t="s">
        <v>327</v>
      </c>
      <c r="F266">
        <v>55</v>
      </c>
      <c r="G266" t="s">
        <v>152</v>
      </c>
      <c r="H266">
        <v>3</v>
      </c>
      <c r="I266">
        <v>1209</v>
      </c>
      <c r="J266" t="s">
        <v>341</v>
      </c>
      <c r="K266" s="2">
        <v>45908</v>
      </c>
    </row>
    <row r="267" spans="1:11">
      <c r="A267" t="s">
        <v>321</v>
      </c>
      <c r="B267" t="s">
        <v>4</v>
      </c>
      <c r="C267" t="s">
        <v>322</v>
      </c>
      <c r="D267" t="s">
        <v>327</v>
      </c>
      <c r="F267">
        <v>52</v>
      </c>
      <c r="G267" t="s">
        <v>140</v>
      </c>
      <c r="H267">
        <v>109</v>
      </c>
      <c r="I267">
        <v>1209</v>
      </c>
      <c r="J267" t="s">
        <v>341</v>
      </c>
      <c r="K267" s="2">
        <v>45908</v>
      </c>
    </row>
    <row r="268" spans="1:11">
      <c r="A268" t="s">
        <v>321</v>
      </c>
      <c r="B268" t="s">
        <v>4</v>
      </c>
      <c r="C268" t="s">
        <v>322</v>
      </c>
      <c r="D268" t="s">
        <v>270</v>
      </c>
      <c r="F268">
        <v>48</v>
      </c>
      <c r="G268" t="s">
        <v>128</v>
      </c>
      <c r="H268">
        <v>2</v>
      </c>
      <c r="I268">
        <v>1789</v>
      </c>
      <c r="J268" t="s">
        <v>342</v>
      </c>
      <c r="K268" s="2">
        <v>45908</v>
      </c>
    </row>
    <row r="269" spans="1:11">
      <c r="A269" t="s">
        <v>321</v>
      </c>
      <c r="B269" t="s">
        <v>4</v>
      </c>
      <c r="C269" t="s">
        <v>322</v>
      </c>
      <c r="D269" t="s">
        <v>327</v>
      </c>
      <c r="F269">
        <v>48</v>
      </c>
      <c r="G269" t="s">
        <v>128</v>
      </c>
      <c r="H269">
        <v>34</v>
      </c>
      <c r="I269">
        <v>1789</v>
      </c>
      <c r="J269" t="s">
        <v>342</v>
      </c>
      <c r="K269" s="2">
        <v>45908</v>
      </c>
    </row>
    <row r="270" spans="1:11">
      <c r="A270" t="s">
        <v>321</v>
      </c>
      <c r="B270" t="s">
        <v>4</v>
      </c>
      <c r="C270" t="s">
        <v>255</v>
      </c>
      <c r="D270" t="s">
        <v>270</v>
      </c>
      <c r="F270">
        <v>79</v>
      </c>
      <c r="G270" t="s">
        <v>159</v>
      </c>
      <c r="H270">
        <v>1</v>
      </c>
      <c r="I270">
        <v>2724</v>
      </c>
      <c r="J270" t="s">
        <v>343</v>
      </c>
      <c r="K270" s="2">
        <v>45908</v>
      </c>
    </row>
    <row r="271" spans="1:11">
      <c r="A271" t="s">
        <v>321</v>
      </c>
      <c r="B271" t="s">
        <v>4</v>
      </c>
      <c r="C271" t="s">
        <v>322</v>
      </c>
      <c r="D271" t="s">
        <v>270</v>
      </c>
      <c r="F271">
        <v>65</v>
      </c>
      <c r="G271" t="s">
        <v>182</v>
      </c>
      <c r="H271">
        <v>1</v>
      </c>
      <c r="I271">
        <v>2724</v>
      </c>
      <c r="J271" t="s">
        <v>343</v>
      </c>
      <c r="K271" s="2">
        <v>45908</v>
      </c>
    </row>
    <row r="272" spans="1:11">
      <c r="A272" t="s">
        <v>321</v>
      </c>
      <c r="B272" t="s">
        <v>4</v>
      </c>
      <c r="C272" t="s">
        <v>322</v>
      </c>
      <c r="D272" t="s">
        <v>268</v>
      </c>
      <c r="F272">
        <v>60</v>
      </c>
      <c r="G272" t="s">
        <v>168</v>
      </c>
      <c r="H272">
        <v>5</v>
      </c>
      <c r="I272">
        <v>2798</v>
      </c>
      <c r="J272" t="s">
        <v>387</v>
      </c>
      <c r="K272" s="2">
        <v>45908</v>
      </c>
    </row>
    <row r="273" spans="1:11">
      <c r="A273" t="s">
        <v>321</v>
      </c>
      <c r="B273" t="s">
        <v>4</v>
      </c>
      <c r="C273" t="s">
        <v>322</v>
      </c>
      <c r="D273" t="s">
        <v>263</v>
      </c>
      <c r="F273">
        <v>66</v>
      </c>
      <c r="G273" t="s">
        <v>186</v>
      </c>
      <c r="H273">
        <v>20</v>
      </c>
      <c r="I273">
        <v>4494</v>
      </c>
      <c r="J273" t="s">
        <v>344</v>
      </c>
      <c r="K273" s="2">
        <v>45908</v>
      </c>
    </row>
    <row r="274" spans="1:11">
      <c r="A274" t="s">
        <v>321</v>
      </c>
      <c r="B274" t="s">
        <v>4</v>
      </c>
      <c r="C274" t="s">
        <v>322</v>
      </c>
      <c r="D274" t="s">
        <v>270</v>
      </c>
      <c r="F274">
        <v>77</v>
      </c>
      <c r="G274" t="s">
        <v>162</v>
      </c>
      <c r="H274">
        <v>7</v>
      </c>
      <c r="I274">
        <v>4494</v>
      </c>
      <c r="J274" t="s">
        <v>344</v>
      </c>
      <c r="K274" s="2">
        <v>45908</v>
      </c>
    </row>
    <row r="275" spans="1:11">
      <c r="A275" t="s">
        <v>321</v>
      </c>
      <c r="B275" t="s">
        <v>4</v>
      </c>
      <c r="C275" t="s">
        <v>322</v>
      </c>
      <c r="D275" t="s">
        <v>327</v>
      </c>
      <c r="F275">
        <v>58</v>
      </c>
      <c r="G275" t="s">
        <v>164</v>
      </c>
      <c r="H275">
        <v>11</v>
      </c>
      <c r="I275">
        <v>4776</v>
      </c>
      <c r="J275" t="s">
        <v>373</v>
      </c>
      <c r="K275" s="2">
        <v>45908</v>
      </c>
    </row>
    <row r="276" spans="1:11">
      <c r="A276" t="s">
        <v>321</v>
      </c>
      <c r="B276" t="s">
        <v>4</v>
      </c>
      <c r="C276" t="s">
        <v>322</v>
      </c>
      <c r="D276" t="s">
        <v>327</v>
      </c>
      <c r="F276">
        <v>72</v>
      </c>
      <c r="G276" t="s">
        <v>200</v>
      </c>
      <c r="H276">
        <v>2</v>
      </c>
      <c r="I276">
        <v>678</v>
      </c>
      <c r="J276" t="s">
        <v>388</v>
      </c>
      <c r="K276" s="2">
        <v>45908</v>
      </c>
    </row>
    <row r="277" spans="1:11">
      <c r="A277" t="s">
        <v>321</v>
      </c>
      <c r="B277" t="s">
        <v>4</v>
      </c>
      <c r="C277" t="s">
        <v>255</v>
      </c>
      <c r="D277" t="s">
        <v>270</v>
      </c>
      <c r="F277">
        <v>53</v>
      </c>
      <c r="G277" t="s">
        <v>143</v>
      </c>
      <c r="H277">
        <v>20</v>
      </c>
      <c r="I277">
        <v>6872</v>
      </c>
      <c r="J277" t="s">
        <v>375</v>
      </c>
      <c r="K277" s="2">
        <v>45908</v>
      </c>
    </row>
    <row r="278" spans="1:11">
      <c r="A278" t="s">
        <v>321</v>
      </c>
      <c r="B278" t="s">
        <v>4</v>
      </c>
      <c r="C278" t="s">
        <v>322</v>
      </c>
      <c r="D278" t="s">
        <v>270</v>
      </c>
      <c r="F278">
        <v>73</v>
      </c>
      <c r="G278" t="s">
        <v>181</v>
      </c>
      <c r="H278">
        <v>148</v>
      </c>
      <c r="I278">
        <v>8528</v>
      </c>
      <c r="J278" t="s">
        <v>363</v>
      </c>
      <c r="K278" s="2">
        <v>45908</v>
      </c>
    </row>
    <row r="279" spans="1:11">
      <c r="A279" t="s">
        <v>321</v>
      </c>
      <c r="B279" t="s">
        <v>4</v>
      </c>
      <c r="C279" t="s">
        <v>322</v>
      </c>
      <c r="D279" t="s">
        <v>263</v>
      </c>
      <c r="F279">
        <v>56</v>
      </c>
      <c r="G279" t="s">
        <v>154</v>
      </c>
      <c r="H279">
        <v>51</v>
      </c>
      <c r="I279">
        <v>9189</v>
      </c>
      <c r="J279" t="s">
        <v>345</v>
      </c>
      <c r="K279" s="2">
        <v>45908</v>
      </c>
    </row>
    <row r="280" spans="1:11">
      <c r="A280" t="s">
        <v>321</v>
      </c>
      <c r="B280" t="s">
        <v>4</v>
      </c>
      <c r="C280" t="s">
        <v>322</v>
      </c>
      <c r="D280" t="s">
        <v>263</v>
      </c>
      <c r="F280">
        <v>60</v>
      </c>
      <c r="G280" t="s">
        <v>168</v>
      </c>
      <c r="H280">
        <v>16</v>
      </c>
      <c r="I280" s="58" t="s">
        <v>378</v>
      </c>
      <c r="J280" t="s">
        <v>379</v>
      </c>
      <c r="K280" s="2">
        <v>45908</v>
      </c>
    </row>
    <row r="281" spans="1:11">
      <c r="A281" t="s">
        <v>321</v>
      </c>
      <c r="B281" t="s">
        <v>4</v>
      </c>
      <c r="C281" t="s">
        <v>322</v>
      </c>
      <c r="D281" t="s">
        <v>270</v>
      </c>
      <c r="F281">
        <v>60</v>
      </c>
      <c r="G281" t="s">
        <v>168</v>
      </c>
      <c r="H281">
        <v>18</v>
      </c>
      <c r="I281" s="58" t="s">
        <v>378</v>
      </c>
      <c r="J281" t="s">
        <v>379</v>
      </c>
      <c r="K281" s="2">
        <v>45908</v>
      </c>
    </row>
    <row r="282" spans="1:11">
      <c r="A282" t="s">
        <v>321</v>
      </c>
      <c r="B282" t="s">
        <v>4</v>
      </c>
      <c r="C282" t="s">
        <v>255</v>
      </c>
      <c r="D282" t="s">
        <v>256</v>
      </c>
      <c r="E282">
        <v>14</v>
      </c>
      <c r="F282">
        <v>41</v>
      </c>
      <c r="G282" t="s">
        <v>359</v>
      </c>
      <c r="H282">
        <v>32</v>
      </c>
      <c r="I282">
        <v>100565416</v>
      </c>
      <c r="J282" t="s">
        <v>370</v>
      </c>
      <c r="K282" s="2">
        <v>45908</v>
      </c>
    </row>
    <row r="283" spans="1:11">
      <c r="A283" t="s">
        <v>321</v>
      </c>
      <c r="B283" t="s">
        <v>4</v>
      </c>
      <c r="C283" t="s">
        <v>322</v>
      </c>
      <c r="D283" t="s">
        <v>256</v>
      </c>
      <c r="F283">
        <v>52</v>
      </c>
      <c r="G283" t="s">
        <v>140</v>
      </c>
      <c r="H283">
        <v>4</v>
      </c>
      <c r="I283">
        <v>1209</v>
      </c>
      <c r="J283" t="s">
        <v>341</v>
      </c>
      <c r="K283" s="2">
        <v>45908</v>
      </c>
    </row>
    <row r="284" spans="1:11">
      <c r="A284" t="s">
        <v>321</v>
      </c>
      <c r="B284" t="s">
        <v>4</v>
      </c>
      <c r="C284" t="s">
        <v>322</v>
      </c>
      <c r="D284" t="s">
        <v>268</v>
      </c>
      <c r="F284">
        <v>60</v>
      </c>
      <c r="G284" t="s">
        <v>168</v>
      </c>
      <c r="H284">
        <v>4</v>
      </c>
      <c r="I284">
        <v>3575</v>
      </c>
      <c r="J284" t="s">
        <v>372</v>
      </c>
      <c r="K284" s="2">
        <v>45908</v>
      </c>
    </row>
    <row r="285" spans="1:11">
      <c r="A285" t="s">
        <v>321</v>
      </c>
      <c r="B285" t="s">
        <v>4</v>
      </c>
      <c r="C285" t="s">
        <v>322</v>
      </c>
      <c r="D285" t="s">
        <v>270</v>
      </c>
      <c r="F285">
        <v>77</v>
      </c>
      <c r="G285" t="s">
        <v>162</v>
      </c>
      <c r="H285">
        <v>7</v>
      </c>
      <c r="I285">
        <v>8792</v>
      </c>
      <c r="J285" t="s">
        <v>364</v>
      </c>
      <c r="K285" s="2">
        <v>45908</v>
      </c>
    </row>
    <row r="286" spans="1:11">
      <c r="A286" t="s">
        <v>321</v>
      </c>
      <c r="B286" t="s">
        <v>4</v>
      </c>
      <c r="C286" t="s">
        <v>322</v>
      </c>
      <c r="D286" t="s">
        <v>327</v>
      </c>
      <c r="F286">
        <v>55</v>
      </c>
      <c r="G286" t="s">
        <v>152</v>
      </c>
      <c r="H286">
        <v>60</v>
      </c>
      <c r="I286">
        <v>9189</v>
      </c>
      <c r="J286" t="s">
        <v>345</v>
      </c>
      <c r="K286" s="2">
        <v>45908</v>
      </c>
    </row>
    <row r="287" spans="1:11">
      <c r="A287" t="s">
        <v>321</v>
      </c>
      <c r="B287" t="s">
        <v>4</v>
      </c>
      <c r="C287" t="s">
        <v>322</v>
      </c>
      <c r="D287" t="s">
        <v>268</v>
      </c>
      <c r="F287">
        <v>67</v>
      </c>
      <c r="G287" t="s">
        <v>188</v>
      </c>
      <c r="H287">
        <v>28</v>
      </c>
      <c r="I287" s="58" t="s">
        <v>383</v>
      </c>
      <c r="J287" t="s">
        <v>384</v>
      </c>
      <c r="K287" s="2">
        <v>45908</v>
      </c>
    </row>
    <row r="288" spans="1:11">
      <c r="A288" t="s">
        <v>321</v>
      </c>
      <c r="B288" t="s">
        <v>4</v>
      </c>
      <c r="C288" t="s">
        <v>322</v>
      </c>
      <c r="D288" t="s">
        <v>256</v>
      </c>
      <c r="F288">
        <v>64</v>
      </c>
      <c r="G288" t="s">
        <v>178</v>
      </c>
      <c r="H288">
        <v>32</v>
      </c>
      <c r="I288" s="58" t="s">
        <v>323</v>
      </c>
      <c r="J288" t="s">
        <v>324</v>
      </c>
      <c r="K288" s="2">
        <v>45908</v>
      </c>
    </row>
    <row r="289" spans="1:11">
      <c r="A289" t="s">
        <v>321</v>
      </c>
      <c r="B289" t="s">
        <v>4</v>
      </c>
      <c r="C289" t="s">
        <v>322</v>
      </c>
      <c r="D289" t="s">
        <v>256</v>
      </c>
      <c r="F289">
        <v>42</v>
      </c>
      <c r="G289" t="s">
        <v>102</v>
      </c>
      <c r="H289">
        <v>87</v>
      </c>
      <c r="I289" s="58" t="s">
        <v>325</v>
      </c>
      <c r="J289" t="s">
        <v>326</v>
      </c>
      <c r="K289" s="2">
        <v>45908</v>
      </c>
    </row>
    <row r="290" spans="1:11">
      <c r="A290" t="s">
        <v>321</v>
      </c>
      <c r="B290" t="s">
        <v>4</v>
      </c>
      <c r="C290" t="s">
        <v>255</v>
      </c>
      <c r="D290" t="s">
        <v>256</v>
      </c>
      <c r="E290">
        <v>15</v>
      </c>
      <c r="F290">
        <v>50</v>
      </c>
      <c r="G290" t="s">
        <v>134</v>
      </c>
      <c r="H290">
        <v>103</v>
      </c>
      <c r="I290">
        <v>100563997</v>
      </c>
      <c r="J290" t="s">
        <v>380</v>
      </c>
      <c r="K290" s="2">
        <v>45908</v>
      </c>
    </row>
    <row r="291" spans="1:11">
      <c r="A291" t="s">
        <v>321</v>
      </c>
      <c r="B291" t="s">
        <v>4</v>
      </c>
      <c r="C291" t="s">
        <v>322</v>
      </c>
      <c r="D291" t="s">
        <v>263</v>
      </c>
      <c r="E291">
        <v>12</v>
      </c>
      <c r="F291">
        <v>25</v>
      </c>
      <c r="G291" t="s">
        <v>350</v>
      </c>
      <c r="H291">
        <v>7</v>
      </c>
      <c r="I291">
        <v>100565074</v>
      </c>
      <c r="J291" t="s">
        <v>351</v>
      </c>
      <c r="K291" s="2">
        <v>45908</v>
      </c>
    </row>
    <row r="292" spans="1:11">
      <c r="A292" t="s">
        <v>321</v>
      </c>
      <c r="B292" t="s">
        <v>4</v>
      </c>
      <c r="C292" t="s">
        <v>255</v>
      </c>
      <c r="D292" t="s">
        <v>256</v>
      </c>
      <c r="E292">
        <v>13</v>
      </c>
      <c r="F292">
        <v>45</v>
      </c>
      <c r="G292" t="s">
        <v>120</v>
      </c>
      <c r="H292">
        <v>16</v>
      </c>
      <c r="I292">
        <v>100566960</v>
      </c>
      <c r="J292" t="s">
        <v>353</v>
      </c>
      <c r="K292" s="2">
        <v>45908</v>
      </c>
    </row>
    <row r="293" spans="1:11">
      <c r="A293" t="s">
        <v>321</v>
      </c>
      <c r="B293" t="s">
        <v>4</v>
      </c>
      <c r="C293" t="s">
        <v>255</v>
      </c>
      <c r="D293" t="s">
        <v>270</v>
      </c>
      <c r="F293">
        <v>52</v>
      </c>
      <c r="G293" t="s">
        <v>140</v>
      </c>
      <c r="H293">
        <v>62</v>
      </c>
      <c r="I293">
        <v>1209</v>
      </c>
      <c r="J293" t="s">
        <v>341</v>
      </c>
      <c r="K293" s="2">
        <v>45908</v>
      </c>
    </row>
    <row r="294" spans="1:11">
      <c r="A294" t="s">
        <v>321</v>
      </c>
      <c r="B294" t="s">
        <v>4</v>
      </c>
      <c r="C294" t="s">
        <v>322</v>
      </c>
      <c r="D294" t="s">
        <v>270</v>
      </c>
      <c r="F294">
        <v>64</v>
      </c>
      <c r="G294" t="s">
        <v>178</v>
      </c>
      <c r="H294">
        <v>1</v>
      </c>
      <c r="I294">
        <v>2724</v>
      </c>
      <c r="J294" t="s">
        <v>343</v>
      </c>
      <c r="K294" s="2">
        <v>45908</v>
      </c>
    </row>
    <row r="295" spans="1:11">
      <c r="A295" t="s">
        <v>321</v>
      </c>
      <c r="B295" t="s">
        <v>4</v>
      </c>
      <c r="C295" t="s">
        <v>322</v>
      </c>
      <c r="D295" t="s">
        <v>268</v>
      </c>
      <c r="F295">
        <v>77</v>
      </c>
      <c r="G295" t="s">
        <v>162</v>
      </c>
      <c r="H295">
        <v>3</v>
      </c>
      <c r="I295">
        <v>2724</v>
      </c>
      <c r="J295" t="s">
        <v>343</v>
      </c>
      <c r="K295" s="2">
        <v>45908</v>
      </c>
    </row>
    <row r="296" spans="1:11">
      <c r="A296" t="s">
        <v>321</v>
      </c>
      <c r="B296" t="s">
        <v>4</v>
      </c>
      <c r="C296" t="s">
        <v>322</v>
      </c>
      <c r="D296" t="s">
        <v>256</v>
      </c>
      <c r="F296">
        <v>74</v>
      </c>
      <c r="G296" t="s">
        <v>185</v>
      </c>
      <c r="H296">
        <v>31</v>
      </c>
      <c r="I296">
        <v>4494</v>
      </c>
      <c r="J296" t="s">
        <v>344</v>
      </c>
      <c r="K296" s="2">
        <v>45908</v>
      </c>
    </row>
    <row r="297" spans="1:11">
      <c r="A297" t="s">
        <v>321</v>
      </c>
      <c r="B297" t="s">
        <v>4</v>
      </c>
      <c r="C297" t="s">
        <v>322</v>
      </c>
      <c r="D297" t="s">
        <v>256</v>
      </c>
      <c r="F297">
        <v>64</v>
      </c>
      <c r="G297" t="s">
        <v>178</v>
      </c>
      <c r="H297">
        <v>31</v>
      </c>
      <c r="I297">
        <v>4494</v>
      </c>
      <c r="J297" t="s">
        <v>344</v>
      </c>
      <c r="K297" s="2">
        <v>45908</v>
      </c>
    </row>
    <row r="298" spans="1:11">
      <c r="A298" t="s">
        <v>321</v>
      </c>
      <c r="B298" t="s">
        <v>4</v>
      </c>
      <c r="C298" t="s">
        <v>322</v>
      </c>
      <c r="D298" t="s">
        <v>268</v>
      </c>
      <c r="F298">
        <v>66</v>
      </c>
      <c r="G298" t="s">
        <v>186</v>
      </c>
      <c r="H298">
        <v>17</v>
      </c>
      <c r="I298">
        <v>4494</v>
      </c>
      <c r="J298" t="s">
        <v>344</v>
      </c>
      <c r="K298" s="2">
        <v>45908</v>
      </c>
    </row>
    <row r="299" spans="1:11">
      <c r="A299" t="s">
        <v>321</v>
      </c>
      <c r="B299" t="s">
        <v>4</v>
      </c>
      <c r="C299" t="s">
        <v>322</v>
      </c>
      <c r="D299" t="s">
        <v>263</v>
      </c>
      <c r="F299">
        <v>53</v>
      </c>
      <c r="G299" t="s">
        <v>143</v>
      </c>
      <c r="H299">
        <v>43</v>
      </c>
      <c r="I299">
        <v>6872</v>
      </c>
      <c r="J299" t="s">
        <v>375</v>
      </c>
      <c r="K299" s="2">
        <v>45908</v>
      </c>
    </row>
    <row r="300" spans="1:11">
      <c r="A300" t="s">
        <v>321</v>
      </c>
      <c r="B300" t="s">
        <v>4</v>
      </c>
      <c r="C300" t="s">
        <v>322</v>
      </c>
      <c r="D300" t="s">
        <v>256</v>
      </c>
      <c r="F300">
        <v>73</v>
      </c>
      <c r="G300" t="s">
        <v>181</v>
      </c>
      <c r="H300">
        <v>60</v>
      </c>
      <c r="I300">
        <v>8528</v>
      </c>
      <c r="J300" t="s">
        <v>363</v>
      </c>
      <c r="K300" s="2">
        <v>45908</v>
      </c>
    </row>
    <row r="301" spans="1:11">
      <c r="A301" t="s">
        <v>321</v>
      </c>
      <c r="B301" t="s">
        <v>4</v>
      </c>
      <c r="C301" t="s">
        <v>322</v>
      </c>
      <c r="D301" t="s">
        <v>327</v>
      </c>
      <c r="F301">
        <v>60</v>
      </c>
      <c r="G301" t="s">
        <v>168</v>
      </c>
      <c r="H301">
        <v>5</v>
      </c>
      <c r="I301">
        <v>9481</v>
      </c>
      <c r="J301" t="s">
        <v>346</v>
      </c>
      <c r="K301" s="2">
        <v>45908</v>
      </c>
    </row>
    <row r="302" spans="1:11">
      <c r="A302" t="s">
        <v>321</v>
      </c>
      <c r="B302" t="s">
        <v>4</v>
      </c>
      <c r="C302" t="s">
        <v>322</v>
      </c>
      <c r="D302" t="s">
        <v>256</v>
      </c>
      <c r="F302">
        <v>68</v>
      </c>
      <c r="G302" t="s">
        <v>191</v>
      </c>
      <c r="H302">
        <v>23</v>
      </c>
      <c r="I302" s="58" t="s">
        <v>383</v>
      </c>
      <c r="J302" t="s">
        <v>384</v>
      </c>
      <c r="K302" s="2">
        <v>45908</v>
      </c>
    </row>
    <row r="303" spans="1:11">
      <c r="A303" t="s">
        <v>321</v>
      </c>
      <c r="B303" t="s">
        <v>4</v>
      </c>
      <c r="C303" t="s">
        <v>322</v>
      </c>
      <c r="D303" t="s">
        <v>268</v>
      </c>
      <c r="F303">
        <v>29</v>
      </c>
      <c r="G303" t="s">
        <v>100</v>
      </c>
      <c r="H303">
        <v>28</v>
      </c>
      <c r="I303" s="58" t="s">
        <v>383</v>
      </c>
      <c r="J303" t="s">
        <v>384</v>
      </c>
      <c r="K303" s="2">
        <v>45908</v>
      </c>
    </row>
    <row r="304" spans="1:11">
      <c r="A304" t="s">
        <v>321</v>
      </c>
      <c r="B304" t="s">
        <v>4</v>
      </c>
      <c r="C304" t="s">
        <v>322</v>
      </c>
      <c r="D304" t="s">
        <v>268</v>
      </c>
      <c r="F304">
        <v>68</v>
      </c>
      <c r="G304" t="s">
        <v>191</v>
      </c>
      <c r="H304">
        <v>28</v>
      </c>
      <c r="I304" s="58" t="s">
        <v>383</v>
      </c>
      <c r="J304" t="s">
        <v>384</v>
      </c>
      <c r="K304" s="2">
        <v>45908</v>
      </c>
    </row>
    <row r="305" spans="1:11">
      <c r="A305" t="s">
        <v>321</v>
      </c>
      <c r="B305" t="s">
        <v>4</v>
      </c>
      <c r="C305" t="s">
        <v>322</v>
      </c>
      <c r="D305" t="s">
        <v>263</v>
      </c>
      <c r="F305">
        <v>59</v>
      </c>
      <c r="G305" t="s">
        <v>166</v>
      </c>
      <c r="H305">
        <v>22</v>
      </c>
      <c r="I305" s="58" t="s">
        <v>365</v>
      </c>
      <c r="J305" t="s">
        <v>366</v>
      </c>
      <c r="K305" s="2">
        <v>45908</v>
      </c>
    </row>
    <row r="306" spans="1:11">
      <c r="A306" t="s">
        <v>321</v>
      </c>
      <c r="B306" t="s">
        <v>4</v>
      </c>
      <c r="C306" t="s">
        <v>322</v>
      </c>
      <c r="D306" t="s">
        <v>256</v>
      </c>
      <c r="F306">
        <v>76</v>
      </c>
      <c r="G306" t="s">
        <v>194</v>
      </c>
      <c r="H306">
        <v>87</v>
      </c>
      <c r="I306" s="58" t="s">
        <v>325</v>
      </c>
      <c r="J306" t="s">
        <v>326</v>
      </c>
      <c r="K306" s="2">
        <v>45908</v>
      </c>
    </row>
    <row r="307" spans="1:11">
      <c r="A307" t="s">
        <v>321</v>
      </c>
      <c r="B307" t="s">
        <v>4</v>
      </c>
      <c r="C307" t="s">
        <v>255</v>
      </c>
      <c r="D307" t="s">
        <v>256</v>
      </c>
      <c r="E307">
        <v>13</v>
      </c>
      <c r="F307">
        <v>47</v>
      </c>
      <c r="G307" t="s">
        <v>125</v>
      </c>
      <c r="H307">
        <v>16</v>
      </c>
      <c r="I307">
        <v>100566960</v>
      </c>
      <c r="J307" t="s">
        <v>353</v>
      </c>
      <c r="K307" s="2">
        <v>45908</v>
      </c>
    </row>
    <row r="308" spans="1:11">
      <c r="A308" t="s">
        <v>321</v>
      </c>
      <c r="B308" t="s">
        <v>4</v>
      </c>
      <c r="C308" t="s">
        <v>322</v>
      </c>
      <c r="D308" t="s">
        <v>263</v>
      </c>
      <c r="F308">
        <v>79</v>
      </c>
      <c r="G308" t="s">
        <v>159</v>
      </c>
      <c r="H308">
        <v>15</v>
      </c>
      <c r="I308">
        <v>6099</v>
      </c>
      <c r="J308" t="s">
        <v>374</v>
      </c>
      <c r="K308" s="2">
        <v>45908</v>
      </c>
    </row>
    <row r="309" spans="1:11">
      <c r="A309" t="s">
        <v>321</v>
      </c>
      <c r="B309" t="s">
        <v>4</v>
      </c>
      <c r="C309" t="s">
        <v>322</v>
      </c>
      <c r="D309" t="s">
        <v>270</v>
      </c>
      <c r="F309">
        <v>67</v>
      </c>
      <c r="G309" t="s">
        <v>188</v>
      </c>
      <c r="H309">
        <v>84</v>
      </c>
      <c r="I309">
        <v>8792</v>
      </c>
      <c r="J309" t="s">
        <v>364</v>
      </c>
      <c r="K309" s="2">
        <v>45908</v>
      </c>
    </row>
    <row r="310" spans="1:11">
      <c r="A310" t="s">
        <v>321</v>
      </c>
      <c r="B310" t="s">
        <v>4</v>
      </c>
      <c r="C310" t="s">
        <v>322</v>
      </c>
      <c r="D310" t="s">
        <v>268</v>
      </c>
      <c r="F310">
        <v>77</v>
      </c>
      <c r="G310" t="s">
        <v>162</v>
      </c>
      <c r="H310">
        <v>1</v>
      </c>
      <c r="I310">
        <v>8792</v>
      </c>
      <c r="J310" t="s">
        <v>364</v>
      </c>
      <c r="K310" s="2">
        <v>45908</v>
      </c>
    </row>
    <row r="311" spans="1:11">
      <c r="A311" t="s">
        <v>321</v>
      </c>
      <c r="B311" t="s">
        <v>4</v>
      </c>
      <c r="C311" t="s">
        <v>322</v>
      </c>
      <c r="D311" t="s">
        <v>263</v>
      </c>
      <c r="F311">
        <v>67</v>
      </c>
      <c r="G311" t="s">
        <v>188</v>
      </c>
      <c r="H311">
        <v>28</v>
      </c>
      <c r="I311" s="58" t="s">
        <v>383</v>
      </c>
      <c r="J311" t="s">
        <v>384</v>
      </c>
      <c r="K311" s="2">
        <v>45908</v>
      </c>
    </row>
    <row r="312" spans="1:11">
      <c r="A312" t="s">
        <v>321</v>
      </c>
      <c r="B312" t="s">
        <v>4</v>
      </c>
      <c r="C312" t="s">
        <v>255</v>
      </c>
      <c r="D312" t="s">
        <v>270</v>
      </c>
      <c r="E312">
        <v>13</v>
      </c>
      <c r="F312">
        <v>41</v>
      </c>
      <c r="G312" t="s">
        <v>359</v>
      </c>
      <c r="H312">
        <v>30</v>
      </c>
      <c r="I312">
        <v>100565416</v>
      </c>
      <c r="J312" t="s">
        <v>370</v>
      </c>
      <c r="K312" s="2">
        <v>45908</v>
      </c>
    </row>
    <row r="313" spans="1:11">
      <c r="A313" t="s">
        <v>321</v>
      </c>
      <c r="B313" t="s">
        <v>331</v>
      </c>
      <c r="C313" t="s">
        <v>332</v>
      </c>
      <c r="D313" t="s">
        <v>327</v>
      </c>
      <c r="E313" t="s">
        <v>333</v>
      </c>
      <c r="F313">
        <v>91</v>
      </c>
      <c r="G313" t="s">
        <v>330</v>
      </c>
      <c r="H313">
        <v>89</v>
      </c>
      <c r="I313">
        <v>100565524</v>
      </c>
      <c r="J313" t="s">
        <v>334</v>
      </c>
      <c r="K313" s="2">
        <v>45908</v>
      </c>
    </row>
    <row r="314" spans="1:11">
      <c r="A314" t="s">
        <v>321</v>
      </c>
      <c r="B314" t="s">
        <v>4</v>
      </c>
      <c r="C314" t="s">
        <v>322</v>
      </c>
      <c r="D314" t="s">
        <v>263</v>
      </c>
      <c r="F314">
        <v>59</v>
      </c>
      <c r="G314" t="s">
        <v>166</v>
      </c>
      <c r="H314">
        <v>17</v>
      </c>
      <c r="I314">
        <v>2798</v>
      </c>
      <c r="J314" t="s">
        <v>387</v>
      </c>
      <c r="K314" s="2">
        <v>45908</v>
      </c>
    </row>
    <row r="315" spans="1:11">
      <c r="A315" t="s">
        <v>321</v>
      </c>
      <c r="B315" t="s">
        <v>4</v>
      </c>
      <c r="C315" t="s">
        <v>322</v>
      </c>
      <c r="D315" t="s">
        <v>327</v>
      </c>
      <c r="F315">
        <v>65</v>
      </c>
      <c r="G315" t="s">
        <v>182</v>
      </c>
      <c r="H315">
        <v>1</v>
      </c>
      <c r="I315">
        <v>4494</v>
      </c>
      <c r="J315" t="s">
        <v>344</v>
      </c>
      <c r="K315" s="2">
        <v>45908</v>
      </c>
    </row>
    <row r="316" spans="1:11">
      <c r="A316" t="s">
        <v>321</v>
      </c>
      <c r="B316" t="s">
        <v>4</v>
      </c>
      <c r="C316" t="s">
        <v>322</v>
      </c>
      <c r="D316" t="s">
        <v>263</v>
      </c>
      <c r="F316">
        <v>60</v>
      </c>
      <c r="G316" t="s">
        <v>168</v>
      </c>
      <c r="H316">
        <v>9</v>
      </c>
      <c r="I316">
        <v>7736</v>
      </c>
      <c r="J316" t="s">
        <v>362</v>
      </c>
      <c r="K316" s="2">
        <v>45908</v>
      </c>
    </row>
    <row r="317" spans="1:11">
      <c r="A317" t="s">
        <v>321</v>
      </c>
      <c r="B317" t="s">
        <v>4</v>
      </c>
      <c r="C317" t="s">
        <v>322</v>
      </c>
      <c r="D317" t="s">
        <v>327</v>
      </c>
      <c r="F317">
        <v>60</v>
      </c>
      <c r="G317" t="s">
        <v>168</v>
      </c>
      <c r="H317">
        <v>2</v>
      </c>
      <c r="I317">
        <v>7736</v>
      </c>
      <c r="J317" t="s">
        <v>362</v>
      </c>
      <c r="K317" s="2">
        <v>45908</v>
      </c>
    </row>
    <row r="318" spans="1:11">
      <c r="A318" t="s">
        <v>321</v>
      </c>
      <c r="B318" t="s">
        <v>4</v>
      </c>
      <c r="C318" t="s">
        <v>322</v>
      </c>
      <c r="D318" t="s">
        <v>263</v>
      </c>
      <c r="F318">
        <v>29</v>
      </c>
      <c r="G318" t="s">
        <v>100</v>
      </c>
      <c r="H318">
        <v>39</v>
      </c>
      <c r="I318">
        <v>8792</v>
      </c>
      <c r="J318" t="s">
        <v>364</v>
      </c>
      <c r="K318" s="2">
        <v>45908</v>
      </c>
    </row>
    <row r="319" spans="1:11">
      <c r="A319" t="s">
        <v>321</v>
      </c>
      <c r="B319" t="s">
        <v>4</v>
      </c>
      <c r="C319" t="s">
        <v>322</v>
      </c>
      <c r="D319" t="s">
        <v>270</v>
      </c>
      <c r="F319">
        <v>67</v>
      </c>
      <c r="G319" t="s">
        <v>188</v>
      </c>
      <c r="H319">
        <v>54</v>
      </c>
      <c r="I319" s="58" t="s">
        <v>383</v>
      </c>
      <c r="J319" t="s">
        <v>384</v>
      </c>
      <c r="K319" s="2">
        <v>45908</v>
      </c>
    </row>
    <row r="320" spans="1:11">
      <c r="A320" t="s">
        <v>321</v>
      </c>
      <c r="B320" t="s">
        <v>4</v>
      </c>
      <c r="C320" t="s">
        <v>255</v>
      </c>
      <c r="D320" t="s">
        <v>327</v>
      </c>
      <c r="E320">
        <v>12</v>
      </c>
      <c r="F320">
        <v>41</v>
      </c>
      <c r="G320" t="s">
        <v>359</v>
      </c>
      <c r="H320">
        <v>7</v>
      </c>
      <c r="I320">
        <v>100565416</v>
      </c>
      <c r="J320" t="s">
        <v>370</v>
      </c>
      <c r="K320" s="2">
        <v>45908</v>
      </c>
    </row>
    <row r="321" spans="1:11">
      <c r="A321" t="s">
        <v>321</v>
      </c>
      <c r="B321" t="s">
        <v>4</v>
      </c>
      <c r="C321" t="s">
        <v>322</v>
      </c>
      <c r="D321" t="s">
        <v>268</v>
      </c>
      <c r="E321">
        <v>9</v>
      </c>
      <c r="F321">
        <v>50</v>
      </c>
      <c r="G321" t="s">
        <v>134</v>
      </c>
      <c r="H321">
        <v>27</v>
      </c>
      <c r="I321">
        <v>100565514</v>
      </c>
      <c r="J321" t="s">
        <v>326</v>
      </c>
      <c r="K321" s="2">
        <v>45908</v>
      </c>
    </row>
    <row r="322" spans="1:11">
      <c r="A322" t="s">
        <v>321</v>
      </c>
      <c r="B322" t="s">
        <v>4</v>
      </c>
      <c r="C322" t="s">
        <v>322</v>
      </c>
      <c r="D322" t="s">
        <v>270</v>
      </c>
      <c r="F322">
        <v>55</v>
      </c>
      <c r="G322" t="s">
        <v>152</v>
      </c>
      <c r="H322">
        <v>3</v>
      </c>
      <c r="I322">
        <v>1209</v>
      </c>
      <c r="J322" t="s">
        <v>341</v>
      </c>
      <c r="K322" s="2">
        <v>45908</v>
      </c>
    </row>
    <row r="323" spans="1:11">
      <c r="A323" t="s">
        <v>321</v>
      </c>
      <c r="B323" t="s">
        <v>4</v>
      </c>
      <c r="C323" t="s">
        <v>322</v>
      </c>
      <c r="D323" t="s">
        <v>263</v>
      </c>
      <c r="F323">
        <v>60</v>
      </c>
      <c r="G323" t="s">
        <v>168</v>
      </c>
      <c r="H323">
        <v>17</v>
      </c>
      <c r="I323">
        <v>2798</v>
      </c>
      <c r="J323" t="s">
        <v>387</v>
      </c>
      <c r="K323" s="2">
        <v>45908</v>
      </c>
    </row>
    <row r="324" spans="1:11">
      <c r="A324" t="s">
        <v>321</v>
      </c>
      <c r="B324" t="s">
        <v>4</v>
      </c>
      <c r="C324" t="s">
        <v>322</v>
      </c>
      <c r="D324" t="s">
        <v>270</v>
      </c>
      <c r="F324">
        <v>60</v>
      </c>
      <c r="G324" t="s">
        <v>168</v>
      </c>
      <c r="H324">
        <v>23</v>
      </c>
      <c r="I324">
        <v>2798</v>
      </c>
      <c r="J324" t="s">
        <v>387</v>
      </c>
      <c r="K324" s="2">
        <v>45908</v>
      </c>
    </row>
    <row r="325" spans="1:11">
      <c r="A325" t="s">
        <v>321</v>
      </c>
      <c r="B325" t="s">
        <v>4</v>
      </c>
      <c r="C325" t="s">
        <v>322</v>
      </c>
      <c r="D325" t="s">
        <v>270</v>
      </c>
      <c r="F325">
        <v>64</v>
      </c>
      <c r="G325" t="s">
        <v>178</v>
      </c>
      <c r="H325">
        <v>52</v>
      </c>
      <c r="I325">
        <v>4494</v>
      </c>
      <c r="J325" t="s">
        <v>344</v>
      </c>
      <c r="K325" s="2">
        <v>45908</v>
      </c>
    </row>
    <row r="326" spans="1:11">
      <c r="A326" t="s">
        <v>321</v>
      </c>
      <c r="B326" t="s">
        <v>4</v>
      </c>
      <c r="C326" t="s">
        <v>322</v>
      </c>
      <c r="D326" t="s">
        <v>270</v>
      </c>
      <c r="F326">
        <v>59</v>
      </c>
      <c r="G326" t="s">
        <v>166</v>
      </c>
      <c r="H326">
        <v>29</v>
      </c>
      <c r="I326">
        <v>7736</v>
      </c>
      <c r="J326" t="s">
        <v>362</v>
      </c>
      <c r="K326" s="2">
        <v>45908</v>
      </c>
    </row>
    <row r="327" spans="1:11">
      <c r="A327" t="s">
        <v>321</v>
      </c>
      <c r="B327" t="s">
        <v>4</v>
      </c>
      <c r="C327" t="s">
        <v>322</v>
      </c>
      <c r="D327" t="s">
        <v>327</v>
      </c>
      <c r="F327">
        <v>76</v>
      </c>
      <c r="G327" t="s">
        <v>194</v>
      </c>
      <c r="H327">
        <v>3</v>
      </c>
      <c r="I327" s="58" t="s">
        <v>325</v>
      </c>
      <c r="J327" t="s">
        <v>326</v>
      </c>
      <c r="K327" s="2">
        <v>45908</v>
      </c>
    </row>
    <row r="328" spans="1:11">
      <c r="A328" t="s">
        <v>321</v>
      </c>
      <c r="B328" t="s">
        <v>4</v>
      </c>
      <c r="C328" t="s">
        <v>322</v>
      </c>
      <c r="D328" t="s">
        <v>270</v>
      </c>
      <c r="F328">
        <v>72</v>
      </c>
      <c r="G328" t="s">
        <v>200</v>
      </c>
      <c r="H328">
        <v>71</v>
      </c>
      <c r="I328" s="58" t="s">
        <v>385</v>
      </c>
      <c r="J328" t="s">
        <v>386</v>
      </c>
      <c r="K328" s="2">
        <v>45908</v>
      </c>
    </row>
    <row r="329" spans="1:11">
      <c r="A329" t="s">
        <v>321</v>
      </c>
      <c r="B329" t="s">
        <v>4</v>
      </c>
      <c r="C329" t="s">
        <v>322</v>
      </c>
      <c r="D329" t="s">
        <v>256</v>
      </c>
      <c r="F329">
        <v>58</v>
      </c>
      <c r="G329" t="s">
        <v>164</v>
      </c>
      <c r="H329">
        <v>32</v>
      </c>
      <c r="I329" s="58" t="s">
        <v>356</v>
      </c>
      <c r="J329" t="s">
        <v>357</v>
      </c>
      <c r="K329" s="2">
        <v>45908</v>
      </c>
    </row>
    <row r="330" spans="1:11">
      <c r="A330" t="s">
        <v>321</v>
      </c>
      <c r="B330" t="s">
        <v>4</v>
      </c>
      <c r="C330" t="s">
        <v>255</v>
      </c>
      <c r="D330" t="s">
        <v>270</v>
      </c>
      <c r="E330">
        <v>10</v>
      </c>
      <c r="F330">
        <v>45</v>
      </c>
      <c r="G330" t="s">
        <v>120</v>
      </c>
      <c r="H330">
        <v>20</v>
      </c>
      <c r="I330">
        <v>100566960</v>
      </c>
      <c r="J330" t="s">
        <v>353</v>
      </c>
      <c r="K330" s="2">
        <v>45908</v>
      </c>
    </row>
    <row r="331" spans="1:11">
      <c r="A331" t="s">
        <v>321</v>
      </c>
      <c r="B331" t="s">
        <v>4</v>
      </c>
      <c r="C331" t="s">
        <v>322</v>
      </c>
      <c r="D331" t="s">
        <v>270</v>
      </c>
      <c r="F331">
        <v>52</v>
      </c>
      <c r="G331" t="s">
        <v>140</v>
      </c>
      <c r="H331">
        <v>60</v>
      </c>
      <c r="I331">
        <v>1209</v>
      </c>
      <c r="J331" t="s">
        <v>341</v>
      </c>
      <c r="K331" s="2">
        <v>45908</v>
      </c>
    </row>
    <row r="332" spans="1:11">
      <c r="A332" t="s">
        <v>321</v>
      </c>
      <c r="B332" t="s">
        <v>4</v>
      </c>
      <c r="C332" t="s">
        <v>322</v>
      </c>
      <c r="D332" t="s">
        <v>268</v>
      </c>
      <c r="F332">
        <v>52</v>
      </c>
      <c r="G332" t="s">
        <v>140</v>
      </c>
      <c r="H332">
        <v>1</v>
      </c>
      <c r="I332">
        <v>1209</v>
      </c>
      <c r="J332" t="s">
        <v>341</v>
      </c>
      <c r="K332" s="2">
        <v>45908</v>
      </c>
    </row>
    <row r="333" spans="1:11">
      <c r="A333" t="s">
        <v>321</v>
      </c>
      <c r="B333" t="s">
        <v>4</v>
      </c>
      <c r="C333" t="s">
        <v>322</v>
      </c>
      <c r="D333" t="s">
        <v>327</v>
      </c>
      <c r="F333">
        <v>56</v>
      </c>
      <c r="G333" t="s">
        <v>154</v>
      </c>
      <c r="H333">
        <v>45</v>
      </c>
      <c r="I333">
        <v>1789</v>
      </c>
      <c r="J333" t="s">
        <v>342</v>
      </c>
      <c r="K333" s="2">
        <v>45908</v>
      </c>
    </row>
    <row r="334" spans="1:11">
      <c r="A334" t="s">
        <v>321</v>
      </c>
      <c r="B334" t="s">
        <v>4</v>
      </c>
      <c r="C334" t="s">
        <v>322</v>
      </c>
      <c r="D334" t="s">
        <v>270</v>
      </c>
      <c r="F334">
        <v>79</v>
      </c>
      <c r="G334" t="s">
        <v>159</v>
      </c>
      <c r="H334">
        <v>63</v>
      </c>
      <c r="I334">
        <v>2724</v>
      </c>
      <c r="J334" t="s">
        <v>343</v>
      </c>
      <c r="K334" s="2">
        <v>45908</v>
      </c>
    </row>
    <row r="335" spans="1:11">
      <c r="A335" t="s">
        <v>321</v>
      </c>
      <c r="B335" t="s">
        <v>4</v>
      </c>
      <c r="C335" t="s">
        <v>322</v>
      </c>
      <c r="D335" t="s">
        <v>256</v>
      </c>
      <c r="F335">
        <v>79</v>
      </c>
      <c r="G335" t="s">
        <v>159</v>
      </c>
      <c r="H335">
        <v>22</v>
      </c>
      <c r="I335">
        <v>2724</v>
      </c>
      <c r="J335" t="s">
        <v>343</v>
      </c>
      <c r="K335" s="2">
        <v>45908</v>
      </c>
    </row>
    <row r="336" spans="1:11">
      <c r="A336" t="s">
        <v>321</v>
      </c>
      <c r="B336" t="s">
        <v>4</v>
      </c>
      <c r="C336" t="s">
        <v>322</v>
      </c>
      <c r="D336" t="s">
        <v>270</v>
      </c>
      <c r="F336">
        <v>60</v>
      </c>
      <c r="G336" t="s">
        <v>168</v>
      </c>
      <c r="H336">
        <v>23</v>
      </c>
      <c r="I336">
        <v>3575</v>
      </c>
      <c r="J336" t="s">
        <v>372</v>
      </c>
      <c r="K336" s="2">
        <v>45908</v>
      </c>
    </row>
    <row r="337" spans="1:11">
      <c r="A337" t="s">
        <v>321</v>
      </c>
      <c r="B337" t="s">
        <v>4</v>
      </c>
      <c r="C337" t="s">
        <v>322</v>
      </c>
      <c r="D337" t="s">
        <v>263</v>
      </c>
      <c r="F337">
        <v>77</v>
      </c>
      <c r="G337" t="s">
        <v>162</v>
      </c>
      <c r="H337">
        <v>15</v>
      </c>
      <c r="I337">
        <v>6099</v>
      </c>
      <c r="J337" t="s">
        <v>374</v>
      </c>
      <c r="K337" s="2">
        <v>45908</v>
      </c>
    </row>
    <row r="338" spans="1:11">
      <c r="A338" t="s">
        <v>321</v>
      </c>
      <c r="B338" t="s">
        <v>4</v>
      </c>
      <c r="C338" t="s">
        <v>322</v>
      </c>
      <c r="D338" t="s">
        <v>270</v>
      </c>
      <c r="F338">
        <v>53</v>
      </c>
      <c r="G338" t="s">
        <v>143</v>
      </c>
      <c r="H338">
        <v>18</v>
      </c>
      <c r="I338">
        <v>6872</v>
      </c>
      <c r="J338" t="s">
        <v>375</v>
      </c>
      <c r="K338" s="2">
        <v>45908</v>
      </c>
    </row>
    <row r="339" spans="1:11">
      <c r="A339" t="s">
        <v>321</v>
      </c>
      <c r="B339" t="s">
        <v>4</v>
      </c>
      <c r="C339" t="s">
        <v>322</v>
      </c>
      <c r="D339" t="s">
        <v>268</v>
      </c>
      <c r="F339">
        <v>48</v>
      </c>
      <c r="G339" t="s">
        <v>128</v>
      </c>
      <c r="H339">
        <v>1</v>
      </c>
      <c r="I339">
        <v>6872</v>
      </c>
      <c r="J339" t="s">
        <v>375</v>
      </c>
      <c r="K339" s="2">
        <v>45908</v>
      </c>
    </row>
    <row r="340" spans="1:11">
      <c r="A340" t="s">
        <v>321</v>
      </c>
      <c r="B340" t="s">
        <v>4</v>
      </c>
      <c r="C340" t="s">
        <v>322</v>
      </c>
      <c r="D340" t="s">
        <v>270</v>
      </c>
      <c r="F340">
        <v>60</v>
      </c>
      <c r="G340" t="s">
        <v>168</v>
      </c>
      <c r="H340">
        <v>29</v>
      </c>
      <c r="I340">
        <v>7736</v>
      </c>
      <c r="J340" t="s">
        <v>362</v>
      </c>
      <c r="K340" s="2">
        <v>45908</v>
      </c>
    </row>
    <row r="341" spans="1:11">
      <c r="A341" t="s">
        <v>321</v>
      </c>
      <c r="B341" t="s">
        <v>4</v>
      </c>
      <c r="C341" t="s">
        <v>322</v>
      </c>
      <c r="D341" t="s">
        <v>268</v>
      </c>
      <c r="F341">
        <v>73</v>
      </c>
      <c r="G341" t="s">
        <v>181</v>
      </c>
      <c r="H341">
        <v>36</v>
      </c>
      <c r="I341">
        <v>8528</v>
      </c>
      <c r="J341" t="s">
        <v>363</v>
      </c>
      <c r="K341" s="2">
        <v>45908</v>
      </c>
    </row>
    <row r="342" spans="1:11">
      <c r="A342" t="s">
        <v>321</v>
      </c>
      <c r="B342" t="s">
        <v>4</v>
      </c>
      <c r="C342" t="s">
        <v>322</v>
      </c>
      <c r="D342" t="s">
        <v>256</v>
      </c>
      <c r="F342">
        <v>68</v>
      </c>
      <c r="G342" t="s">
        <v>191</v>
      </c>
      <c r="H342">
        <v>54</v>
      </c>
      <c r="I342">
        <v>8792</v>
      </c>
      <c r="J342" t="s">
        <v>364</v>
      </c>
      <c r="K342" s="2">
        <v>45908</v>
      </c>
    </row>
    <row r="343" spans="1:11">
      <c r="A343" t="s">
        <v>321</v>
      </c>
      <c r="B343" t="s">
        <v>4</v>
      </c>
      <c r="C343" t="s">
        <v>322</v>
      </c>
      <c r="D343" t="s">
        <v>270</v>
      </c>
      <c r="F343">
        <v>56</v>
      </c>
      <c r="G343" t="s">
        <v>154</v>
      </c>
      <c r="H343">
        <v>48</v>
      </c>
      <c r="I343">
        <v>9189</v>
      </c>
      <c r="J343" t="s">
        <v>345</v>
      </c>
      <c r="K343" s="2">
        <v>45908</v>
      </c>
    </row>
    <row r="344" spans="1:11">
      <c r="A344" t="s">
        <v>321</v>
      </c>
      <c r="B344" t="s">
        <v>4</v>
      </c>
      <c r="C344" t="s">
        <v>322</v>
      </c>
      <c r="D344" t="s">
        <v>268</v>
      </c>
      <c r="F344">
        <v>79</v>
      </c>
      <c r="G344" t="s">
        <v>159</v>
      </c>
      <c r="H344">
        <v>4</v>
      </c>
      <c r="I344" s="58" t="s">
        <v>368</v>
      </c>
      <c r="J344" t="s">
        <v>369</v>
      </c>
      <c r="K344" s="2">
        <v>45908</v>
      </c>
    </row>
    <row r="345" spans="1:11">
      <c r="A345" t="s">
        <v>321</v>
      </c>
      <c r="B345" t="s">
        <v>4</v>
      </c>
      <c r="C345" t="s">
        <v>322</v>
      </c>
      <c r="D345" t="s">
        <v>327</v>
      </c>
      <c r="F345">
        <v>66</v>
      </c>
      <c r="G345" t="s">
        <v>186</v>
      </c>
      <c r="H345">
        <v>6</v>
      </c>
      <c r="I345" s="58" t="s">
        <v>323</v>
      </c>
      <c r="J345" t="s">
        <v>324</v>
      </c>
      <c r="K345" s="2">
        <v>45908</v>
      </c>
    </row>
    <row r="346" spans="1:11">
      <c r="A346" t="s">
        <v>321</v>
      </c>
      <c r="B346" t="s">
        <v>4</v>
      </c>
      <c r="C346" t="s">
        <v>322</v>
      </c>
      <c r="D346" t="s">
        <v>263</v>
      </c>
      <c r="F346">
        <v>46</v>
      </c>
      <c r="G346" t="s">
        <v>122</v>
      </c>
      <c r="H346">
        <v>110</v>
      </c>
      <c r="I346" s="58" t="s">
        <v>348</v>
      </c>
      <c r="J346" t="s">
        <v>349</v>
      </c>
      <c r="K346" s="2">
        <v>45908</v>
      </c>
    </row>
    <row r="347" spans="1:11">
      <c r="A347" t="s">
        <v>321</v>
      </c>
      <c r="B347" t="s">
        <v>4</v>
      </c>
      <c r="C347" t="s">
        <v>255</v>
      </c>
      <c r="D347" t="s">
        <v>270</v>
      </c>
      <c r="F347">
        <v>27</v>
      </c>
      <c r="G347" t="s">
        <v>157</v>
      </c>
      <c r="H347">
        <v>69</v>
      </c>
      <c r="I347" s="58" t="s">
        <v>376</v>
      </c>
      <c r="J347" t="s">
        <v>377</v>
      </c>
      <c r="K347" s="2">
        <v>45908</v>
      </c>
    </row>
    <row r="348" spans="1:11">
      <c r="A348" t="s">
        <v>321</v>
      </c>
      <c r="B348" t="s">
        <v>4</v>
      </c>
      <c r="C348" t="s">
        <v>322</v>
      </c>
      <c r="D348" t="s">
        <v>263</v>
      </c>
      <c r="E348">
        <v>12</v>
      </c>
      <c r="F348">
        <v>50</v>
      </c>
      <c r="G348" t="s">
        <v>134</v>
      </c>
      <c r="H348">
        <v>7</v>
      </c>
      <c r="I348">
        <v>100565514</v>
      </c>
      <c r="J348" t="s">
        <v>326</v>
      </c>
      <c r="K348" s="2">
        <v>45908</v>
      </c>
    </row>
    <row r="349" spans="1:11">
      <c r="A349" t="s">
        <v>321</v>
      </c>
      <c r="B349" t="s">
        <v>4</v>
      </c>
      <c r="C349" t="s">
        <v>322</v>
      </c>
      <c r="D349" t="s">
        <v>268</v>
      </c>
      <c r="F349">
        <v>56</v>
      </c>
      <c r="G349" t="s">
        <v>154</v>
      </c>
      <c r="H349">
        <v>1</v>
      </c>
      <c r="I349">
        <v>1789</v>
      </c>
      <c r="J349" t="s">
        <v>342</v>
      </c>
      <c r="K349" s="2">
        <v>45908</v>
      </c>
    </row>
    <row r="350" spans="1:11">
      <c r="A350" t="s">
        <v>321</v>
      </c>
      <c r="B350" t="s">
        <v>4</v>
      </c>
      <c r="C350" t="s">
        <v>322</v>
      </c>
      <c r="D350" t="s">
        <v>327</v>
      </c>
      <c r="F350">
        <v>77</v>
      </c>
      <c r="G350" t="s">
        <v>162</v>
      </c>
      <c r="H350">
        <v>16</v>
      </c>
      <c r="I350">
        <v>4494</v>
      </c>
      <c r="J350" t="s">
        <v>344</v>
      </c>
      <c r="K350" s="2">
        <v>45908</v>
      </c>
    </row>
    <row r="351" spans="1:11">
      <c r="A351" t="s">
        <v>321</v>
      </c>
      <c r="B351" t="s">
        <v>4</v>
      </c>
      <c r="C351" t="s">
        <v>322</v>
      </c>
      <c r="D351" t="s">
        <v>327</v>
      </c>
      <c r="F351">
        <v>59</v>
      </c>
      <c r="G351" t="s">
        <v>166</v>
      </c>
      <c r="H351">
        <v>2</v>
      </c>
      <c r="I351">
        <v>7736</v>
      </c>
      <c r="J351" t="s">
        <v>362</v>
      </c>
      <c r="K351" s="2">
        <v>45908</v>
      </c>
    </row>
    <row r="352" spans="1:11">
      <c r="A352" t="s">
        <v>321</v>
      </c>
      <c r="B352" t="s">
        <v>4</v>
      </c>
      <c r="C352" t="s">
        <v>322</v>
      </c>
      <c r="D352" t="s">
        <v>256</v>
      </c>
      <c r="F352">
        <v>29</v>
      </c>
      <c r="G352" t="s">
        <v>100</v>
      </c>
      <c r="H352">
        <v>54</v>
      </c>
      <c r="I352">
        <v>8792</v>
      </c>
      <c r="J352" t="s">
        <v>364</v>
      </c>
      <c r="K352" s="2">
        <v>45908</v>
      </c>
    </row>
    <row r="353" spans="1:11">
      <c r="A353" t="s">
        <v>321</v>
      </c>
      <c r="B353" t="s">
        <v>4</v>
      </c>
      <c r="C353" t="s">
        <v>322</v>
      </c>
      <c r="D353" t="s">
        <v>268</v>
      </c>
      <c r="F353">
        <v>77</v>
      </c>
      <c r="G353" t="s">
        <v>162</v>
      </c>
      <c r="H353">
        <v>4</v>
      </c>
      <c r="I353" s="58" t="s">
        <v>368</v>
      </c>
      <c r="J353" t="s">
        <v>369</v>
      </c>
      <c r="K353" s="2">
        <v>45908</v>
      </c>
    </row>
    <row r="354" spans="1:11">
      <c r="A354" t="s">
        <v>321</v>
      </c>
      <c r="B354" t="s">
        <v>4</v>
      </c>
      <c r="C354" t="s">
        <v>322</v>
      </c>
      <c r="D354" t="s">
        <v>327</v>
      </c>
      <c r="F354">
        <v>67</v>
      </c>
      <c r="G354" t="s">
        <v>188</v>
      </c>
      <c r="H354">
        <v>1</v>
      </c>
      <c r="I354" s="58" t="s">
        <v>383</v>
      </c>
      <c r="J354" t="s">
        <v>384</v>
      </c>
      <c r="K354" s="2">
        <v>45908</v>
      </c>
    </row>
    <row r="355" spans="1:11">
      <c r="A355" t="s">
        <v>321</v>
      </c>
      <c r="B355" t="s">
        <v>4</v>
      </c>
      <c r="C355" t="s">
        <v>322</v>
      </c>
      <c r="D355" t="s">
        <v>327</v>
      </c>
      <c r="E355">
        <v>11</v>
      </c>
      <c r="F355">
        <v>50</v>
      </c>
      <c r="G355" t="s">
        <v>134</v>
      </c>
      <c r="H355">
        <v>104</v>
      </c>
      <c r="I355">
        <v>100565514</v>
      </c>
      <c r="J355" t="s">
        <v>326</v>
      </c>
      <c r="K355" s="2">
        <v>45908</v>
      </c>
    </row>
    <row r="356" spans="1:11">
      <c r="A356" t="s">
        <v>321</v>
      </c>
      <c r="B356" t="s">
        <v>331</v>
      </c>
      <c r="C356" t="s">
        <v>332</v>
      </c>
      <c r="D356" t="s">
        <v>263</v>
      </c>
      <c r="E356" t="s">
        <v>367</v>
      </c>
      <c r="F356">
        <v>91</v>
      </c>
      <c r="G356" t="s">
        <v>330</v>
      </c>
      <c r="H356">
        <v>152</v>
      </c>
      <c r="I356">
        <v>100565524</v>
      </c>
      <c r="J356" t="s">
        <v>334</v>
      </c>
      <c r="K356" s="2">
        <v>45908</v>
      </c>
    </row>
    <row r="357" spans="1:11">
      <c r="A357" t="s">
        <v>321</v>
      </c>
      <c r="B357" t="s">
        <v>4</v>
      </c>
      <c r="C357" t="s">
        <v>322</v>
      </c>
      <c r="D357" t="s">
        <v>327</v>
      </c>
      <c r="F357">
        <v>56</v>
      </c>
      <c r="G357" t="s">
        <v>154</v>
      </c>
      <c r="H357">
        <v>3</v>
      </c>
      <c r="I357">
        <v>1209</v>
      </c>
      <c r="J357" t="s">
        <v>341</v>
      </c>
      <c r="K357" s="2">
        <v>45908</v>
      </c>
    </row>
    <row r="358" spans="1:11">
      <c r="A358" t="s">
        <v>321</v>
      </c>
      <c r="B358" t="s">
        <v>4</v>
      </c>
      <c r="C358" t="s">
        <v>322</v>
      </c>
      <c r="D358" t="s">
        <v>263</v>
      </c>
      <c r="F358">
        <v>56</v>
      </c>
      <c r="G358" t="s">
        <v>154</v>
      </c>
      <c r="H358">
        <v>58</v>
      </c>
      <c r="I358">
        <v>1789</v>
      </c>
      <c r="J358" t="s">
        <v>342</v>
      </c>
      <c r="K358" s="2">
        <v>45908</v>
      </c>
    </row>
    <row r="359" spans="1:11">
      <c r="A359" t="s">
        <v>321</v>
      </c>
      <c r="B359" t="s">
        <v>4</v>
      </c>
      <c r="C359" t="s">
        <v>322</v>
      </c>
      <c r="D359" t="s">
        <v>327</v>
      </c>
      <c r="F359">
        <v>49</v>
      </c>
      <c r="G359" t="s">
        <v>132</v>
      </c>
      <c r="H359">
        <v>45</v>
      </c>
      <c r="I359">
        <v>1789</v>
      </c>
      <c r="J359" t="s">
        <v>342</v>
      </c>
      <c r="K359" s="2">
        <v>45908</v>
      </c>
    </row>
    <row r="360" spans="1:11">
      <c r="A360" t="s">
        <v>321</v>
      </c>
      <c r="B360" t="s">
        <v>4</v>
      </c>
      <c r="C360" t="s">
        <v>322</v>
      </c>
      <c r="D360" t="s">
        <v>268</v>
      </c>
      <c r="F360">
        <v>59</v>
      </c>
      <c r="G360" t="s">
        <v>166</v>
      </c>
      <c r="H360">
        <v>5</v>
      </c>
      <c r="I360">
        <v>2798</v>
      </c>
      <c r="J360" t="s">
        <v>387</v>
      </c>
      <c r="K360" s="2">
        <v>45908</v>
      </c>
    </row>
    <row r="361" spans="1:11">
      <c r="A361" t="s">
        <v>321</v>
      </c>
      <c r="B361" t="s">
        <v>4</v>
      </c>
      <c r="C361" t="s">
        <v>322</v>
      </c>
      <c r="D361" t="s">
        <v>263</v>
      </c>
      <c r="F361">
        <v>64</v>
      </c>
      <c r="G361" t="s">
        <v>178</v>
      </c>
      <c r="H361">
        <v>20</v>
      </c>
      <c r="I361">
        <v>4494</v>
      </c>
      <c r="J361" t="s">
        <v>344</v>
      </c>
      <c r="K361" s="2">
        <v>45908</v>
      </c>
    </row>
    <row r="362" spans="1:11">
      <c r="A362" t="s">
        <v>321</v>
      </c>
      <c r="B362" t="s">
        <v>4</v>
      </c>
      <c r="C362" t="s">
        <v>322</v>
      </c>
      <c r="D362" t="s">
        <v>263</v>
      </c>
      <c r="F362">
        <v>72</v>
      </c>
      <c r="G362" t="s">
        <v>200</v>
      </c>
      <c r="H362">
        <v>23</v>
      </c>
      <c r="I362">
        <v>678</v>
      </c>
      <c r="J362" t="s">
        <v>388</v>
      </c>
      <c r="K362" s="2">
        <v>45908</v>
      </c>
    </row>
    <row r="363" spans="1:11">
      <c r="A363" t="s">
        <v>321</v>
      </c>
      <c r="B363" t="s">
        <v>4</v>
      </c>
      <c r="C363" t="s">
        <v>322</v>
      </c>
      <c r="D363" t="s">
        <v>268</v>
      </c>
      <c r="F363">
        <v>72</v>
      </c>
      <c r="G363" t="s">
        <v>200</v>
      </c>
      <c r="H363">
        <v>31</v>
      </c>
      <c r="I363">
        <v>678</v>
      </c>
      <c r="J363" t="s">
        <v>388</v>
      </c>
      <c r="K363" s="2">
        <v>45908</v>
      </c>
    </row>
    <row r="364" spans="1:11">
      <c r="A364" t="s">
        <v>321</v>
      </c>
      <c r="B364" t="s">
        <v>4</v>
      </c>
      <c r="C364" t="s">
        <v>322</v>
      </c>
      <c r="D364" t="s">
        <v>263</v>
      </c>
      <c r="F364">
        <v>68</v>
      </c>
      <c r="G364" t="s">
        <v>191</v>
      </c>
      <c r="H364">
        <v>28</v>
      </c>
      <c r="I364" s="58" t="s">
        <v>383</v>
      </c>
      <c r="J364" t="s">
        <v>384</v>
      </c>
      <c r="K364" s="2">
        <v>45908</v>
      </c>
    </row>
    <row r="365" spans="1:11">
      <c r="A365" t="s">
        <v>321</v>
      </c>
      <c r="B365" t="s">
        <v>4</v>
      </c>
      <c r="C365" t="s">
        <v>322</v>
      </c>
      <c r="D365" t="s">
        <v>270</v>
      </c>
      <c r="F365">
        <v>69</v>
      </c>
      <c r="G365" t="s">
        <v>193</v>
      </c>
      <c r="H365">
        <v>137</v>
      </c>
      <c r="I365" s="58" t="s">
        <v>325</v>
      </c>
      <c r="J365" t="s">
        <v>326</v>
      </c>
      <c r="K365" s="2">
        <v>45908</v>
      </c>
    </row>
    <row r="366" spans="1:11">
      <c r="A366" t="s">
        <v>321</v>
      </c>
      <c r="B366" t="s">
        <v>4</v>
      </c>
      <c r="C366" t="s">
        <v>322</v>
      </c>
      <c r="D366" t="s">
        <v>270</v>
      </c>
      <c r="F366">
        <v>49</v>
      </c>
      <c r="G366" t="s">
        <v>132</v>
      </c>
      <c r="H366">
        <v>3</v>
      </c>
      <c r="I366">
        <v>1209</v>
      </c>
      <c r="J366" t="s">
        <v>341</v>
      </c>
      <c r="K366" s="2">
        <v>45908</v>
      </c>
    </row>
    <row r="367" spans="1:11">
      <c r="A367" t="s">
        <v>321</v>
      </c>
      <c r="B367" t="s">
        <v>4</v>
      </c>
      <c r="C367" t="s">
        <v>322</v>
      </c>
      <c r="D367" t="s">
        <v>327</v>
      </c>
      <c r="F367">
        <v>49</v>
      </c>
      <c r="G367" t="s">
        <v>132</v>
      </c>
      <c r="H367">
        <v>3</v>
      </c>
      <c r="I367">
        <v>1209</v>
      </c>
      <c r="J367" t="s">
        <v>341</v>
      </c>
      <c r="K367" s="2">
        <v>45908</v>
      </c>
    </row>
    <row r="368" spans="1:11">
      <c r="A368" t="s">
        <v>321</v>
      </c>
      <c r="B368" t="s">
        <v>4</v>
      </c>
      <c r="C368" t="s">
        <v>322</v>
      </c>
      <c r="D368" t="s">
        <v>263</v>
      </c>
      <c r="F368">
        <v>60</v>
      </c>
      <c r="G368" t="s">
        <v>168</v>
      </c>
      <c r="H368">
        <v>10</v>
      </c>
      <c r="I368">
        <v>3575</v>
      </c>
      <c r="J368" t="s">
        <v>372</v>
      </c>
      <c r="K368" s="2">
        <v>45908</v>
      </c>
    </row>
    <row r="369" spans="1:11">
      <c r="A369" t="s">
        <v>321</v>
      </c>
      <c r="B369" t="s">
        <v>4</v>
      </c>
      <c r="C369" t="s">
        <v>322</v>
      </c>
      <c r="D369" t="s">
        <v>256</v>
      </c>
      <c r="F369">
        <v>60</v>
      </c>
      <c r="G369" t="s">
        <v>168</v>
      </c>
      <c r="H369">
        <v>7</v>
      </c>
      <c r="I369">
        <v>3575</v>
      </c>
      <c r="J369" t="s">
        <v>372</v>
      </c>
      <c r="K369" s="2">
        <v>45908</v>
      </c>
    </row>
    <row r="370" spans="1:11">
      <c r="A370" t="s">
        <v>321</v>
      </c>
      <c r="B370" t="s">
        <v>4</v>
      </c>
      <c r="C370" t="s">
        <v>322</v>
      </c>
      <c r="D370" t="s">
        <v>327</v>
      </c>
      <c r="F370">
        <v>61</v>
      </c>
      <c r="G370" t="s">
        <v>173</v>
      </c>
      <c r="H370">
        <v>20</v>
      </c>
      <c r="I370">
        <v>4776</v>
      </c>
      <c r="J370" t="s">
        <v>373</v>
      </c>
      <c r="K370" s="2">
        <v>45908</v>
      </c>
    </row>
    <row r="371" spans="1:11">
      <c r="A371" t="s">
        <v>321</v>
      </c>
      <c r="B371" t="s">
        <v>4</v>
      </c>
      <c r="C371" t="s">
        <v>322</v>
      </c>
      <c r="D371" t="s">
        <v>256</v>
      </c>
      <c r="F371">
        <v>53</v>
      </c>
      <c r="G371" t="s">
        <v>143</v>
      </c>
      <c r="H371">
        <v>2</v>
      </c>
      <c r="I371">
        <v>6872</v>
      </c>
      <c r="J371" t="s">
        <v>375</v>
      </c>
      <c r="K371" s="2">
        <v>45908</v>
      </c>
    </row>
    <row r="372" spans="1:11">
      <c r="A372" t="s">
        <v>321</v>
      </c>
      <c r="B372" t="s">
        <v>4</v>
      </c>
      <c r="C372" t="s">
        <v>322</v>
      </c>
      <c r="D372" t="s">
        <v>263</v>
      </c>
      <c r="F372">
        <v>53</v>
      </c>
      <c r="G372" t="s">
        <v>143</v>
      </c>
      <c r="H372">
        <v>45</v>
      </c>
      <c r="I372">
        <v>6921</v>
      </c>
      <c r="J372" t="s">
        <v>361</v>
      </c>
      <c r="K372" s="2">
        <v>45908</v>
      </c>
    </row>
    <row r="373" spans="1:11">
      <c r="A373" t="s">
        <v>321</v>
      </c>
      <c r="B373" t="s">
        <v>4</v>
      </c>
      <c r="C373" t="s">
        <v>322</v>
      </c>
      <c r="D373" t="s">
        <v>263</v>
      </c>
      <c r="F373">
        <v>73</v>
      </c>
      <c r="G373" t="s">
        <v>181</v>
      </c>
      <c r="H373">
        <v>88</v>
      </c>
      <c r="I373">
        <v>8528</v>
      </c>
      <c r="J373" t="s">
        <v>363</v>
      </c>
      <c r="K373" s="2">
        <v>45908</v>
      </c>
    </row>
    <row r="374" spans="1:11">
      <c r="A374" t="s">
        <v>321</v>
      </c>
      <c r="B374" t="s">
        <v>4</v>
      </c>
      <c r="C374" t="s">
        <v>322</v>
      </c>
      <c r="D374" t="s">
        <v>270</v>
      </c>
      <c r="F374">
        <v>29</v>
      </c>
      <c r="G374" t="s">
        <v>100</v>
      </c>
      <c r="H374">
        <v>84</v>
      </c>
      <c r="I374">
        <v>8792</v>
      </c>
      <c r="J374" t="s">
        <v>364</v>
      </c>
      <c r="K374" s="2">
        <v>45908</v>
      </c>
    </row>
    <row r="375" spans="1:11">
      <c r="A375" t="s">
        <v>321</v>
      </c>
      <c r="B375" t="s">
        <v>4</v>
      </c>
      <c r="C375" t="s">
        <v>322</v>
      </c>
      <c r="D375" t="s">
        <v>268</v>
      </c>
      <c r="F375">
        <v>79</v>
      </c>
      <c r="G375" t="s">
        <v>159</v>
      </c>
      <c r="H375">
        <v>1</v>
      </c>
      <c r="I375">
        <v>8792</v>
      </c>
      <c r="J375" t="s">
        <v>364</v>
      </c>
      <c r="K375" s="2">
        <v>45908</v>
      </c>
    </row>
    <row r="376" spans="1:11">
      <c r="A376" t="s">
        <v>321</v>
      </c>
      <c r="B376" t="s">
        <v>4</v>
      </c>
      <c r="C376" t="s">
        <v>322</v>
      </c>
      <c r="D376" t="s">
        <v>270</v>
      </c>
      <c r="F376">
        <v>66</v>
      </c>
      <c r="G376" t="s">
        <v>186</v>
      </c>
      <c r="H376">
        <v>88</v>
      </c>
      <c r="I376" s="58" t="s">
        <v>323</v>
      </c>
      <c r="J376" t="s">
        <v>324</v>
      </c>
      <c r="K376" s="2">
        <v>45908</v>
      </c>
    </row>
    <row r="377" spans="1:11">
      <c r="A377" t="s">
        <v>321</v>
      </c>
      <c r="B377" t="s">
        <v>4</v>
      </c>
      <c r="C377" t="s">
        <v>322</v>
      </c>
      <c r="D377" t="s">
        <v>268</v>
      </c>
      <c r="E377">
        <v>5</v>
      </c>
      <c r="F377">
        <v>50</v>
      </c>
      <c r="G377" t="s">
        <v>134</v>
      </c>
      <c r="H377">
        <v>10</v>
      </c>
      <c r="I377">
        <v>100565514</v>
      </c>
      <c r="J377" t="s">
        <v>326</v>
      </c>
      <c r="K377" s="2">
        <v>45908</v>
      </c>
    </row>
    <row r="378" spans="1:11">
      <c r="A378" t="s">
        <v>321</v>
      </c>
      <c r="B378" t="s">
        <v>4</v>
      </c>
      <c r="C378" t="s">
        <v>322</v>
      </c>
      <c r="D378" t="s">
        <v>263</v>
      </c>
      <c r="F378">
        <v>120</v>
      </c>
      <c r="G378" t="s">
        <v>202</v>
      </c>
      <c r="H378">
        <v>43</v>
      </c>
      <c r="I378">
        <v>1393</v>
      </c>
      <c r="J378" t="s">
        <v>360</v>
      </c>
      <c r="K378" s="2">
        <v>45908</v>
      </c>
    </row>
    <row r="379" spans="1:11">
      <c r="A379" t="s">
        <v>321</v>
      </c>
      <c r="B379" t="s">
        <v>4</v>
      </c>
      <c r="C379" t="s">
        <v>322</v>
      </c>
      <c r="D379" t="s">
        <v>263</v>
      </c>
      <c r="F379">
        <v>79</v>
      </c>
      <c r="G379" t="s">
        <v>159</v>
      </c>
      <c r="H379">
        <v>14</v>
      </c>
      <c r="I379">
        <v>4494</v>
      </c>
      <c r="J379" t="s">
        <v>344</v>
      </c>
      <c r="K379" s="2">
        <v>45908</v>
      </c>
    </row>
    <row r="380" spans="1:11">
      <c r="A380" t="s">
        <v>321</v>
      </c>
      <c r="B380" t="s">
        <v>4</v>
      </c>
      <c r="C380" t="s">
        <v>322</v>
      </c>
      <c r="D380" t="s">
        <v>263</v>
      </c>
      <c r="F380">
        <v>77</v>
      </c>
      <c r="G380" t="s">
        <v>162</v>
      </c>
      <c r="H380">
        <v>14</v>
      </c>
      <c r="I380">
        <v>4494</v>
      </c>
      <c r="J380" t="s">
        <v>344</v>
      </c>
      <c r="K380" s="2">
        <v>45908</v>
      </c>
    </row>
    <row r="381" spans="1:11">
      <c r="A381" t="s">
        <v>321</v>
      </c>
      <c r="B381" t="s">
        <v>4</v>
      </c>
      <c r="C381" t="s">
        <v>322</v>
      </c>
      <c r="D381" t="s">
        <v>270</v>
      </c>
      <c r="F381">
        <v>65</v>
      </c>
      <c r="G381" t="s">
        <v>182</v>
      </c>
      <c r="H381">
        <v>52</v>
      </c>
      <c r="I381">
        <v>4494</v>
      </c>
      <c r="J381" t="s">
        <v>344</v>
      </c>
      <c r="K381" s="2">
        <v>45908</v>
      </c>
    </row>
    <row r="382" spans="1:11">
      <c r="A382" t="s">
        <v>321</v>
      </c>
      <c r="B382" t="s">
        <v>4</v>
      </c>
      <c r="C382" t="s">
        <v>322</v>
      </c>
      <c r="D382" t="s">
        <v>268</v>
      </c>
      <c r="F382">
        <v>64</v>
      </c>
      <c r="G382" t="s">
        <v>178</v>
      </c>
      <c r="H382">
        <v>17</v>
      </c>
      <c r="I382">
        <v>4494</v>
      </c>
      <c r="J382" t="s">
        <v>344</v>
      </c>
      <c r="K382" s="2">
        <v>45908</v>
      </c>
    </row>
    <row r="383" spans="1:11">
      <c r="A383" t="s">
        <v>321</v>
      </c>
      <c r="B383" t="s">
        <v>4</v>
      </c>
      <c r="C383" t="s">
        <v>322</v>
      </c>
      <c r="D383" t="s">
        <v>270</v>
      </c>
      <c r="F383">
        <v>61</v>
      </c>
      <c r="G383" t="s">
        <v>173</v>
      </c>
      <c r="H383">
        <v>85</v>
      </c>
      <c r="I383">
        <v>4776</v>
      </c>
      <c r="J383" t="s">
        <v>373</v>
      </c>
      <c r="K383" s="2">
        <v>45908</v>
      </c>
    </row>
    <row r="384" spans="1:11">
      <c r="A384" t="s">
        <v>321</v>
      </c>
      <c r="B384" t="s">
        <v>4</v>
      </c>
      <c r="C384" t="s">
        <v>255</v>
      </c>
      <c r="D384" t="s">
        <v>270</v>
      </c>
      <c r="F384">
        <v>48</v>
      </c>
      <c r="G384" t="s">
        <v>128</v>
      </c>
      <c r="H384">
        <v>19</v>
      </c>
      <c r="I384">
        <v>6921</v>
      </c>
      <c r="J384" t="s">
        <v>361</v>
      </c>
      <c r="K384" s="2">
        <v>45908</v>
      </c>
    </row>
    <row r="385" spans="1:11">
      <c r="A385" t="s">
        <v>321</v>
      </c>
      <c r="B385" t="s">
        <v>4</v>
      </c>
      <c r="C385" t="s">
        <v>322</v>
      </c>
      <c r="D385" t="s">
        <v>256</v>
      </c>
      <c r="F385">
        <v>67</v>
      </c>
      <c r="G385" t="s">
        <v>188</v>
      </c>
      <c r="H385">
        <v>54</v>
      </c>
      <c r="I385">
        <v>8792</v>
      </c>
      <c r="J385" t="s">
        <v>364</v>
      </c>
      <c r="K385" s="2">
        <v>45908</v>
      </c>
    </row>
    <row r="386" spans="1:11">
      <c r="A386" t="s">
        <v>321</v>
      </c>
      <c r="B386" t="s">
        <v>4</v>
      </c>
      <c r="C386" t="s">
        <v>322</v>
      </c>
      <c r="D386" t="s">
        <v>327</v>
      </c>
      <c r="F386">
        <v>68</v>
      </c>
      <c r="G386" t="s">
        <v>191</v>
      </c>
      <c r="H386">
        <v>4</v>
      </c>
      <c r="I386">
        <v>8792</v>
      </c>
      <c r="J386" t="s">
        <v>364</v>
      </c>
      <c r="K386" s="2">
        <v>45908</v>
      </c>
    </row>
    <row r="387" spans="1:11">
      <c r="A387" t="s">
        <v>321</v>
      </c>
      <c r="B387" t="s">
        <v>4</v>
      </c>
      <c r="C387" t="s">
        <v>322</v>
      </c>
      <c r="D387" t="s">
        <v>263</v>
      </c>
      <c r="F387">
        <v>59</v>
      </c>
      <c r="G387" t="s">
        <v>166</v>
      </c>
      <c r="H387">
        <v>17</v>
      </c>
      <c r="I387">
        <v>9481</v>
      </c>
      <c r="J387" t="s">
        <v>346</v>
      </c>
      <c r="K387" s="2">
        <v>45908</v>
      </c>
    </row>
    <row r="388" spans="1:11">
      <c r="A388" t="s">
        <v>321</v>
      </c>
      <c r="B388" t="s">
        <v>4</v>
      </c>
      <c r="C388" t="s">
        <v>322</v>
      </c>
      <c r="D388" t="s">
        <v>270</v>
      </c>
      <c r="E388">
        <v>9</v>
      </c>
      <c r="F388">
        <v>50</v>
      </c>
      <c r="G388" t="s">
        <v>134</v>
      </c>
      <c r="H388">
        <v>37</v>
      </c>
      <c r="I388">
        <v>100565514</v>
      </c>
      <c r="J388" t="s">
        <v>326</v>
      </c>
      <c r="K388" s="2">
        <v>45908</v>
      </c>
    </row>
    <row r="389" spans="1:11">
      <c r="A389" t="s">
        <v>321</v>
      </c>
      <c r="B389" t="s">
        <v>4</v>
      </c>
      <c r="C389" t="s">
        <v>255</v>
      </c>
      <c r="D389" t="s">
        <v>268</v>
      </c>
      <c r="E389">
        <v>13</v>
      </c>
      <c r="F389">
        <v>78</v>
      </c>
      <c r="G389" t="s">
        <v>136</v>
      </c>
      <c r="H389">
        <v>52</v>
      </c>
      <c r="I389">
        <v>100566038</v>
      </c>
      <c r="J389" t="s">
        <v>382</v>
      </c>
      <c r="K389" s="2">
        <v>45908</v>
      </c>
    </row>
    <row r="390" spans="1:11">
      <c r="A390" t="s">
        <v>321</v>
      </c>
      <c r="B390" t="s">
        <v>4</v>
      </c>
      <c r="C390" t="s">
        <v>322</v>
      </c>
      <c r="D390" t="s">
        <v>256</v>
      </c>
      <c r="F390">
        <v>56</v>
      </c>
      <c r="G390" t="s">
        <v>154</v>
      </c>
      <c r="H390">
        <v>1</v>
      </c>
      <c r="I390">
        <v>1209</v>
      </c>
      <c r="J390" t="s">
        <v>341</v>
      </c>
      <c r="K390" s="2">
        <v>45908</v>
      </c>
    </row>
    <row r="391" spans="1:11">
      <c r="A391" t="s">
        <v>321</v>
      </c>
      <c r="B391" t="s">
        <v>4</v>
      </c>
      <c r="C391" t="s">
        <v>322</v>
      </c>
      <c r="D391" t="s">
        <v>327</v>
      </c>
      <c r="F391">
        <v>75</v>
      </c>
      <c r="G391" t="s">
        <v>354</v>
      </c>
      <c r="H391">
        <v>10</v>
      </c>
      <c r="I391">
        <v>2269</v>
      </c>
      <c r="J391" t="s">
        <v>355</v>
      </c>
      <c r="K391" s="2">
        <v>45908</v>
      </c>
    </row>
    <row r="392" spans="1:11">
      <c r="A392" t="s">
        <v>321</v>
      </c>
      <c r="B392" t="s">
        <v>4</v>
      </c>
      <c r="C392" t="s">
        <v>322</v>
      </c>
      <c r="D392" t="s">
        <v>263</v>
      </c>
      <c r="F392">
        <v>61</v>
      </c>
      <c r="G392" t="s">
        <v>173</v>
      </c>
      <c r="H392">
        <v>66</v>
      </c>
      <c r="I392">
        <v>4808</v>
      </c>
      <c r="J392" t="s">
        <v>371</v>
      </c>
      <c r="K392" s="2">
        <v>45908</v>
      </c>
    </row>
    <row r="393" spans="1:11">
      <c r="A393" t="s">
        <v>321</v>
      </c>
      <c r="B393" t="s">
        <v>4</v>
      </c>
      <c r="C393" t="s">
        <v>322</v>
      </c>
      <c r="D393" t="s">
        <v>327</v>
      </c>
      <c r="F393">
        <v>53</v>
      </c>
      <c r="G393" t="s">
        <v>143</v>
      </c>
      <c r="H393">
        <v>36</v>
      </c>
      <c r="I393">
        <v>6921</v>
      </c>
      <c r="J393" t="s">
        <v>361</v>
      </c>
      <c r="K393" s="2">
        <v>45908</v>
      </c>
    </row>
    <row r="394" spans="1:11">
      <c r="A394" t="s">
        <v>321</v>
      </c>
      <c r="B394" t="s">
        <v>4</v>
      </c>
      <c r="C394" t="s">
        <v>322</v>
      </c>
      <c r="D394" t="s">
        <v>327</v>
      </c>
      <c r="F394">
        <v>75</v>
      </c>
      <c r="G394" t="s">
        <v>354</v>
      </c>
      <c r="H394">
        <v>7</v>
      </c>
      <c r="I394">
        <v>8528</v>
      </c>
      <c r="J394" t="s">
        <v>363</v>
      </c>
      <c r="K394" s="2">
        <v>45908</v>
      </c>
    </row>
    <row r="395" spans="1:11">
      <c r="A395" t="s">
        <v>321</v>
      </c>
      <c r="B395" t="s">
        <v>4</v>
      </c>
      <c r="C395" t="s">
        <v>322</v>
      </c>
      <c r="D395" t="s">
        <v>268</v>
      </c>
      <c r="F395">
        <v>75</v>
      </c>
      <c r="G395" t="s">
        <v>354</v>
      </c>
      <c r="H395">
        <v>12</v>
      </c>
      <c r="I395">
        <v>8528</v>
      </c>
      <c r="J395" t="s">
        <v>363</v>
      </c>
      <c r="K395" s="2">
        <v>45908</v>
      </c>
    </row>
    <row r="396" spans="1:11">
      <c r="A396" t="s">
        <v>321</v>
      </c>
      <c r="B396" t="s">
        <v>4</v>
      </c>
      <c r="C396" t="s">
        <v>322</v>
      </c>
      <c r="D396" t="s">
        <v>327</v>
      </c>
      <c r="F396">
        <v>59</v>
      </c>
      <c r="G396" t="s">
        <v>166</v>
      </c>
      <c r="H396">
        <v>3</v>
      </c>
      <c r="I396" s="58" t="s">
        <v>378</v>
      </c>
      <c r="J396" t="s">
        <v>379</v>
      </c>
      <c r="K396" s="2">
        <v>45908</v>
      </c>
    </row>
    <row r="397" spans="1:11">
      <c r="A397" t="s">
        <v>321</v>
      </c>
      <c r="B397" t="s">
        <v>4</v>
      </c>
      <c r="C397" t="s">
        <v>322</v>
      </c>
      <c r="D397" t="s">
        <v>268</v>
      </c>
      <c r="F397">
        <v>59</v>
      </c>
      <c r="G397" t="s">
        <v>166</v>
      </c>
      <c r="H397">
        <v>5</v>
      </c>
      <c r="I397" s="58" t="s">
        <v>378</v>
      </c>
      <c r="J397" t="s">
        <v>379</v>
      </c>
      <c r="K397" s="2">
        <v>45908</v>
      </c>
    </row>
    <row r="398" spans="1:11">
      <c r="A398" t="s">
        <v>321</v>
      </c>
      <c r="B398" t="s">
        <v>4</v>
      </c>
      <c r="C398" t="s">
        <v>322</v>
      </c>
      <c r="D398" t="s">
        <v>256</v>
      </c>
      <c r="F398">
        <v>18</v>
      </c>
      <c r="G398" t="s">
        <v>112</v>
      </c>
      <c r="H398">
        <v>4</v>
      </c>
      <c r="I398" s="58" t="s">
        <v>348</v>
      </c>
      <c r="J398" t="s">
        <v>349</v>
      </c>
      <c r="K398" s="2">
        <v>45908</v>
      </c>
    </row>
    <row r="399" spans="1:11">
      <c r="A399" t="s">
        <v>321</v>
      </c>
      <c r="B399" t="s">
        <v>4</v>
      </c>
      <c r="C399" t="s">
        <v>322</v>
      </c>
      <c r="D399" t="s">
        <v>270</v>
      </c>
      <c r="F399">
        <v>75</v>
      </c>
      <c r="G399" t="s">
        <v>354</v>
      </c>
      <c r="H399">
        <v>79</v>
      </c>
      <c r="I399">
        <v>2269</v>
      </c>
      <c r="J399" t="s">
        <v>355</v>
      </c>
      <c r="K399" s="2">
        <v>45908</v>
      </c>
    </row>
    <row r="400" spans="1:11">
      <c r="A400" t="s">
        <v>321</v>
      </c>
      <c r="B400" t="s">
        <v>4</v>
      </c>
      <c r="C400" t="s">
        <v>322</v>
      </c>
      <c r="D400" t="s">
        <v>327</v>
      </c>
      <c r="F400">
        <v>77</v>
      </c>
      <c r="G400" t="s">
        <v>162</v>
      </c>
      <c r="H400">
        <v>66</v>
      </c>
      <c r="I400">
        <v>2724</v>
      </c>
      <c r="J400" t="s">
        <v>343</v>
      </c>
      <c r="K400" s="2">
        <v>45908</v>
      </c>
    </row>
    <row r="401" spans="1:11">
      <c r="A401" t="s">
        <v>321</v>
      </c>
      <c r="B401" t="s">
        <v>4</v>
      </c>
      <c r="C401" t="s">
        <v>322</v>
      </c>
      <c r="D401" t="s">
        <v>256</v>
      </c>
      <c r="F401">
        <v>59</v>
      </c>
      <c r="G401" t="s">
        <v>166</v>
      </c>
      <c r="H401">
        <v>3</v>
      </c>
      <c r="I401">
        <v>2798</v>
      </c>
      <c r="J401" t="s">
        <v>387</v>
      </c>
      <c r="K401" s="2">
        <v>45908</v>
      </c>
    </row>
    <row r="402" spans="1:11">
      <c r="A402" t="s">
        <v>321</v>
      </c>
      <c r="B402" t="s">
        <v>4</v>
      </c>
      <c r="C402" t="s">
        <v>322</v>
      </c>
      <c r="D402" t="s">
        <v>256</v>
      </c>
      <c r="F402">
        <v>66</v>
      </c>
      <c r="G402" t="s">
        <v>186</v>
      </c>
      <c r="H402">
        <v>31</v>
      </c>
      <c r="I402">
        <v>4494</v>
      </c>
      <c r="J402" t="s">
        <v>344</v>
      </c>
      <c r="K402" s="2">
        <v>45908</v>
      </c>
    </row>
    <row r="403" spans="1:11">
      <c r="A403" t="s">
        <v>321</v>
      </c>
      <c r="B403" t="s">
        <v>4</v>
      </c>
      <c r="C403" t="s">
        <v>322</v>
      </c>
      <c r="D403" t="s">
        <v>256</v>
      </c>
      <c r="F403">
        <v>77</v>
      </c>
      <c r="G403" t="s">
        <v>162</v>
      </c>
      <c r="H403">
        <v>29</v>
      </c>
      <c r="I403">
        <v>6099</v>
      </c>
      <c r="J403" t="s">
        <v>374</v>
      </c>
      <c r="K403" s="2">
        <v>45908</v>
      </c>
    </row>
    <row r="404" spans="1:11">
      <c r="A404" t="s">
        <v>321</v>
      </c>
      <c r="B404" t="s">
        <v>4</v>
      </c>
      <c r="C404" t="s">
        <v>322</v>
      </c>
      <c r="D404" t="s">
        <v>268</v>
      </c>
      <c r="F404">
        <v>60</v>
      </c>
      <c r="G404" t="s">
        <v>168</v>
      </c>
      <c r="H404">
        <v>4</v>
      </c>
      <c r="I404">
        <v>7736</v>
      </c>
      <c r="J404" t="s">
        <v>362</v>
      </c>
      <c r="K404" s="2">
        <v>45908</v>
      </c>
    </row>
  </sheetData>
  <autoFilter xmlns:etc="http://www.wps.cn/officeDocument/2017/etCustomData" ref="A1:N40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opLeftCell="A4" workbookViewId="0">
      <selection activeCell="A41" sqref="A41:C41"/>
    </sheetView>
  </sheetViews>
  <sheetFormatPr defaultColWidth="9" defaultRowHeight="13.5" outlineLevelCol="2"/>
  <cols>
    <col min="1" max="1" width="8.875" customWidth="1"/>
    <col min="2" max="2" width="12" customWidth="1"/>
  </cols>
  <sheetData>
    <row r="1" spans="1:2">
      <c r="A1" t="s">
        <v>247</v>
      </c>
      <c r="B1" t="s">
        <v>251</v>
      </c>
    </row>
    <row r="2" spans="1:3">
      <c r="A2">
        <v>17</v>
      </c>
      <c r="B2">
        <v>286</v>
      </c>
      <c r="C2">
        <f>VLOOKUP(A2,'AAV10281'!A:G,7,0)</f>
        <v>29.3</v>
      </c>
    </row>
    <row r="3" spans="1:3">
      <c r="A3">
        <v>18</v>
      </c>
      <c r="B3">
        <v>262</v>
      </c>
      <c r="C3">
        <f>VLOOKUP(A3,'AAV10281'!A:G,7,0)</f>
        <v>16</v>
      </c>
    </row>
    <row r="4" spans="1:3">
      <c r="A4">
        <v>25</v>
      </c>
      <c r="B4">
        <v>588</v>
      </c>
      <c r="C4">
        <f>VLOOKUP(A4,'AAV10281'!A:G,7,0)</f>
        <v>2.9</v>
      </c>
    </row>
    <row r="5" spans="1:3">
      <c r="A5">
        <v>27</v>
      </c>
      <c r="B5">
        <v>291</v>
      </c>
      <c r="C5">
        <f>VLOOKUP(A5,'AAV10281'!A:G,7,0)</f>
        <v>39.8</v>
      </c>
    </row>
    <row r="6" spans="1:3">
      <c r="A6">
        <v>29</v>
      </c>
      <c r="B6">
        <v>342</v>
      </c>
      <c r="C6">
        <f>VLOOKUP(A6,'AAV10281'!A:G,7,0)</f>
        <v>6.8</v>
      </c>
    </row>
    <row r="7" spans="1:3">
      <c r="A7" s="1">
        <v>30</v>
      </c>
      <c r="B7" s="1">
        <v>836</v>
      </c>
      <c r="C7" s="1" t="e">
        <f>VLOOKUP(A7,'AAV10281'!A:G,7,0)</f>
        <v>#N/A</v>
      </c>
    </row>
    <row r="8" spans="1:3">
      <c r="A8">
        <v>36</v>
      </c>
      <c r="B8">
        <v>588</v>
      </c>
      <c r="C8">
        <f>VLOOKUP(A8,'AAV10281'!A:G,7,0)</f>
        <v>26.8</v>
      </c>
    </row>
    <row r="9" spans="1:3">
      <c r="A9">
        <v>39</v>
      </c>
      <c r="B9">
        <v>205</v>
      </c>
      <c r="C9">
        <f>VLOOKUP(A9,'AAV10281'!A:G,7,0)</f>
        <v>27.3</v>
      </c>
    </row>
    <row r="10" spans="1:3">
      <c r="A10">
        <v>41</v>
      </c>
      <c r="B10">
        <v>247</v>
      </c>
      <c r="C10">
        <f>VLOOKUP(A10,'AAV10281'!A:G,7,0)</f>
        <v>49.4</v>
      </c>
    </row>
    <row r="11" spans="1:3">
      <c r="A11">
        <v>42</v>
      </c>
      <c r="B11">
        <v>361</v>
      </c>
      <c r="C11">
        <f>VLOOKUP(A11,'AAV10281'!A:G,7,0)</f>
        <v>10.3</v>
      </c>
    </row>
    <row r="12" spans="1:3">
      <c r="A12">
        <v>45</v>
      </c>
      <c r="B12">
        <v>240</v>
      </c>
      <c r="C12">
        <f>VLOOKUP(A12,'AAV10281'!A:G,7,0)</f>
        <v>28.4</v>
      </c>
    </row>
    <row r="13" spans="1:3">
      <c r="A13">
        <v>46</v>
      </c>
      <c r="B13">
        <v>262</v>
      </c>
      <c r="C13">
        <f>VLOOKUP(A13,'AAV10281'!A:G,7,0)</f>
        <v>33.8</v>
      </c>
    </row>
    <row r="14" spans="1:3">
      <c r="A14">
        <v>47</v>
      </c>
      <c r="B14">
        <v>240</v>
      </c>
      <c r="C14">
        <f>VLOOKUP(A14,'AAV10281'!A:G,7,0)</f>
        <v>57.1</v>
      </c>
    </row>
    <row r="15" spans="1:3">
      <c r="A15">
        <v>48</v>
      </c>
      <c r="B15">
        <v>316</v>
      </c>
      <c r="C15">
        <f>VLOOKUP(A15,'AAV10281'!A:G,7,0)</f>
        <v>10</v>
      </c>
    </row>
    <row r="16" spans="1:3">
      <c r="A16">
        <v>49</v>
      </c>
      <c r="B16">
        <v>341</v>
      </c>
      <c r="C16">
        <f>VLOOKUP(A16,'AAV10281'!A:G,7,0)</f>
        <v>19.9</v>
      </c>
    </row>
    <row r="17" spans="1:3">
      <c r="A17">
        <v>50</v>
      </c>
      <c r="B17">
        <v>793</v>
      </c>
      <c r="C17">
        <f>VLOOKUP(A17,'AAV10281'!A:G,7,0)</f>
        <v>20.6</v>
      </c>
    </row>
    <row r="18" spans="1:3">
      <c r="A18">
        <v>52</v>
      </c>
      <c r="B18">
        <v>345</v>
      </c>
      <c r="C18">
        <f>VLOOKUP(A18,'AAV10281'!A:G,7,0)</f>
        <v>27.8</v>
      </c>
    </row>
    <row r="19" spans="1:3">
      <c r="A19">
        <v>53</v>
      </c>
      <c r="B19">
        <v>316</v>
      </c>
      <c r="C19">
        <f>VLOOKUP(A19,'AAV10281'!A:G,7,0)</f>
        <v>42.4</v>
      </c>
    </row>
    <row r="20" spans="1:3">
      <c r="A20">
        <v>55</v>
      </c>
      <c r="B20">
        <v>341</v>
      </c>
      <c r="C20">
        <f>VLOOKUP(A20,'AAV10281'!A:G,7,0)</f>
        <v>20.6</v>
      </c>
    </row>
    <row r="21" spans="1:3">
      <c r="A21">
        <v>56</v>
      </c>
      <c r="B21">
        <v>341</v>
      </c>
      <c r="C21">
        <f>VLOOKUP(A21,'AAV10281'!A:G,7,0)</f>
        <v>8.3</v>
      </c>
    </row>
    <row r="22" spans="1:3">
      <c r="A22">
        <v>57</v>
      </c>
      <c r="B22">
        <v>286</v>
      </c>
      <c r="C22">
        <f>VLOOKUP(A22,'AAV10281'!A:G,7,0)</f>
        <v>21.4</v>
      </c>
    </row>
    <row r="23" spans="1:3">
      <c r="A23">
        <v>58</v>
      </c>
      <c r="B23">
        <v>439</v>
      </c>
      <c r="C23">
        <f>VLOOKUP(A23,'AAV10281'!A:G,7,0)</f>
        <v>38.2</v>
      </c>
    </row>
    <row r="24" spans="1:3">
      <c r="A24">
        <v>59</v>
      </c>
      <c r="B24">
        <v>325</v>
      </c>
      <c r="C24">
        <f>VLOOKUP(A24,'AAV10281'!A:G,7,0)</f>
        <v>167.2</v>
      </c>
    </row>
    <row r="25" spans="1:3">
      <c r="A25">
        <v>60</v>
      </c>
      <c r="B25">
        <v>325</v>
      </c>
      <c r="C25">
        <f>VLOOKUP(A25,'AAV10281'!A:G,7,0)</f>
        <v>24.1</v>
      </c>
    </row>
    <row r="26" spans="1:3">
      <c r="A26">
        <v>61</v>
      </c>
      <c r="B26">
        <v>441</v>
      </c>
      <c r="C26">
        <f>VLOOKUP(A26,'AAV10281'!A:G,7,0)</f>
        <v>28.9</v>
      </c>
    </row>
    <row r="27" spans="1:3">
      <c r="A27">
        <v>64</v>
      </c>
      <c r="B27">
        <v>321</v>
      </c>
      <c r="C27">
        <f>VLOOKUP(A27,'AAV10281'!A:G,7,0)</f>
        <v>16.1</v>
      </c>
    </row>
    <row r="28" spans="1:3">
      <c r="A28">
        <v>65</v>
      </c>
      <c r="B28">
        <v>321</v>
      </c>
      <c r="C28">
        <f>VLOOKUP(A28,'AAV10281'!A:G,7,0)</f>
        <v>13.7</v>
      </c>
    </row>
    <row r="29" spans="1:3">
      <c r="A29">
        <v>66</v>
      </c>
      <c r="B29">
        <v>321</v>
      </c>
      <c r="C29">
        <f>VLOOKUP(A29,'AAV10281'!A:G,7,0)</f>
        <v>33.7</v>
      </c>
    </row>
    <row r="30" spans="1:3">
      <c r="A30">
        <v>67</v>
      </c>
      <c r="B30">
        <v>342</v>
      </c>
      <c r="C30">
        <f>VLOOKUP(A30,'AAV10281'!A:G,7,0)</f>
        <v>62.7</v>
      </c>
    </row>
    <row r="31" spans="1:3">
      <c r="A31">
        <v>68</v>
      </c>
      <c r="B31">
        <v>342</v>
      </c>
      <c r="C31">
        <f>VLOOKUP(A31,'AAV10281'!A:G,7,0)</f>
        <v>25.2</v>
      </c>
    </row>
    <row r="32" spans="1:3">
      <c r="A32">
        <v>69</v>
      </c>
      <c r="B32">
        <v>361</v>
      </c>
      <c r="C32">
        <f>VLOOKUP(A32,'AAV10281'!A:G,7,0)</f>
        <v>10.5</v>
      </c>
    </row>
    <row r="33" spans="1:3">
      <c r="A33">
        <v>72</v>
      </c>
      <c r="B33">
        <v>363</v>
      </c>
      <c r="C33">
        <f>VLOOKUP(A33,'AAV10281'!A:G,7,0)</f>
        <v>67</v>
      </c>
    </row>
    <row r="34" spans="1:3">
      <c r="A34">
        <v>73</v>
      </c>
      <c r="B34">
        <v>346</v>
      </c>
      <c r="C34">
        <f>VLOOKUP(A34,'AAV10281'!A:G,7,0)</f>
        <v>12.2</v>
      </c>
    </row>
    <row r="35" spans="1:3">
      <c r="A35">
        <v>74</v>
      </c>
      <c r="B35">
        <v>321</v>
      </c>
      <c r="C35">
        <f>VLOOKUP(A35,'AAV10281'!A:G,7,0)</f>
        <v>13.9</v>
      </c>
    </row>
    <row r="36" spans="1:3">
      <c r="A36">
        <v>75</v>
      </c>
      <c r="B36">
        <v>334</v>
      </c>
      <c r="C36">
        <f>VLOOKUP(A36,'AAV10281'!A:G,7,0)</f>
        <v>38.4</v>
      </c>
    </row>
    <row r="37" spans="1:3">
      <c r="A37">
        <v>76</v>
      </c>
      <c r="B37">
        <v>361</v>
      </c>
      <c r="C37">
        <f>VLOOKUP(A37,'AAV10281'!A:G,7,0)</f>
        <v>8.7</v>
      </c>
    </row>
    <row r="38" spans="1:3">
      <c r="A38">
        <v>77</v>
      </c>
      <c r="B38">
        <v>407</v>
      </c>
      <c r="C38">
        <f>VLOOKUP(A38,'AAV10281'!A:G,7,0)</f>
        <v>61.7</v>
      </c>
    </row>
    <row r="39" spans="1:3">
      <c r="A39">
        <v>78</v>
      </c>
      <c r="B39">
        <v>519</v>
      </c>
      <c r="C39">
        <f>VLOOKUP(A39,'AAV10281'!A:G,7,0)</f>
        <v>22.4</v>
      </c>
    </row>
    <row r="40" spans="1:3">
      <c r="A40">
        <v>79</v>
      </c>
      <c r="B40">
        <v>407</v>
      </c>
      <c r="C40">
        <f>VLOOKUP(A40,'AAV10281'!A:G,7,0)</f>
        <v>0</v>
      </c>
    </row>
    <row r="41" spans="1:3">
      <c r="A41" s="1">
        <v>91</v>
      </c>
      <c r="B41" s="1">
        <v>1313</v>
      </c>
      <c r="C41" s="1">
        <f>VLOOKUP(A41,'AAV10281'!A:G,7,0)</f>
        <v>38</v>
      </c>
    </row>
    <row r="42" spans="1:3">
      <c r="A42">
        <v>120</v>
      </c>
      <c r="B42">
        <v>333</v>
      </c>
      <c r="C42">
        <f>VLOOKUP(A42,'AAV10281'!A:G,7,0)</f>
        <v>51.1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AAV10281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2025-08-23T03:36:00Z</dcterms:created>
  <dcterms:modified xsi:type="dcterms:W3CDTF">2025-09-12T23:58:56Z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B63DBACB8B5D4EFEB8E6E783F49F0A6E_11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2052-12.1.0.22529</vt:lpwstr>
  </property>
</Properties>
</file>