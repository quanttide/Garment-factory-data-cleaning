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AV20932" sheetId="1" r:id="rId1"/>
  </sheets>
  <definedNames>
    <definedName name="_xlnm.Print_Titles" localSheetId="0">'AAV20932'!$1:$11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<sst xmlns="http://schemas.openxmlformats.org/spreadsheetml/2006/main" count="160" uniqueCount="92">
  <si>
    <t>重庆尚上服饰有限公司</t>
  </si>
  <si>
    <t>款式工序表</t>
  </si>
  <si>
    <t>打印日期：2025-09-04 16:55:17</t>
  </si>
  <si>
    <t>生产制单号：</t>
  </si>
  <si>
    <t>AAV20932</t>
  </si>
  <si>
    <t>客　　户：</t>
  </si>
  <si>
    <t>中山立州</t>
  </si>
  <si>
    <t>客户款号：</t>
  </si>
  <si>
    <t>款式描述：</t>
  </si>
  <si>
    <t>针织背心，毛边，肩缝、侧缝四针六线拼缝</t>
  </si>
  <si>
    <t>品质标准：</t>
  </si>
  <si>
    <t>数　　量：</t>
  </si>
  <si>
    <t>车缝时间：</t>
  </si>
  <si>
    <t>车缝10.5H台产：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</si>
  <si>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</si>
  <si>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</si>
  <si>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</si>
  <si>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</si>
  <si>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</si>
  <si>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</si>
  <si>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</si>
  <si>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</si>
  <si>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</si>
  <si>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</si>
  <si>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</si>
  <si>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</si>
  <si>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</si>
  <si>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</si>
  <si>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</si>
  <si>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</si>
  <si>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</t>
  </si>
  <si>
    <t>松布机松面布*0.58</t>
  </si>
  <si>
    <t>松布机</t>
  </si>
  <si>
    <t>E2</t>
  </si>
  <si>
    <t>拉面布</t>
  </si>
  <si>
    <t>拉布机拉面布*0.58（隔线）</t>
  </si>
  <si>
    <t>拉布机</t>
  </si>
  <si>
    <t>E3</t>
  </si>
  <si>
    <t>裁剪面布</t>
  </si>
  <si>
    <t>电脑裁床裁剪面布*2</t>
  </si>
  <si>
    <t>电脑裁剪</t>
  </si>
  <si>
    <t>D4</t>
  </si>
  <si>
    <t>面布分包</t>
  </si>
  <si>
    <t>手工分包*2(小包）</t>
  </si>
  <si>
    <t>手工</t>
  </si>
  <si>
    <t>手工验片/配补片*2</t>
  </si>
  <si>
    <t>手工打编号</t>
  </si>
  <si>
    <t>手工打编号*2</t>
  </si>
  <si>
    <t>烫后领标/撕标</t>
  </si>
  <si>
    <t>烫后领标/撕标*1</t>
  </si>
  <si>
    <t>压烫机</t>
  </si>
  <si>
    <t>E1</t>
  </si>
  <si>
    <t>下裁片</t>
  </si>
  <si>
    <t>2-组合</t>
  </si>
  <si>
    <t>挂片</t>
  </si>
  <si>
    <t>挂片/配补片</t>
  </si>
  <si>
    <t>平车订洗标于侧缝（车台定位）*1</t>
  </si>
  <si>
    <t>电脑平车</t>
  </si>
  <si>
    <t>D2</t>
  </si>
  <si>
    <t>四针六线合肩缝*2（不剪线）</t>
  </si>
  <si>
    <t>电脑四线锁边车</t>
  </si>
  <si>
    <t>C4</t>
  </si>
  <si>
    <t>四针六线合侧缝*2(不剪线）</t>
  </si>
  <si>
    <t>电脑四针六线冚车</t>
  </si>
  <si>
    <t>B1</t>
  </si>
  <si>
    <t>手工量剪挂耳*1（车台定位）</t>
  </si>
  <si>
    <t>平车折订挂耳于侧缝*1（车台定位）</t>
  </si>
  <si>
    <t>中查</t>
  </si>
  <si>
    <t>检验</t>
  </si>
  <si>
    <t>组检成品</t>
  </si>
  <si>
    <t>E4</t>
  </si>
  <si>
    <t>3-专机</t>
  </si>
  <si>
    <t>打枣及打肩缝、侧缝两头固定枣*8（折线头）</t>
  </si>
  <si>
    <t>电脑打枣车</t>
  </si>
  <si>
    <t>手工剪冚车线*8</t>
  </si>
  <si>
    <t>4-尾部</t>
  </si>
  <si>
    <t>一检查剪里面（粘里面浮毛）</t>
  </si>
  <si>
    <t>大烫</t>
  </si>
  <si>
    <t>整烫（尾部）</t>
  </si>
  <si>
    <t>手工分色分码</t>
  </si>
  <si>
    <t>二检查剪（粘面布浮毛）</t>
  </si>
  <si>
    <t>手工分PO</t>
  </si>
  <si>
    <t>手工查码</t>
  </si>
  <si>
    <t>手工穿挂吊牌*4</t>
  </si>
  <si>
    <t>包装搬运</t>
  </si>
  <si>
    <t>手工单件对折（放拷贝纸）</t>
  </si>
  <si>
    <t>验针机验针</t>
  </si>
  <si>
    <t>单件装袋自动封口放干燥剂一个</t>
  </si>
  <si>
    <t>装箱前检查包装</t>
  </si>
  <si>
    <t>独色独码装100件/装箱（拉纸箱、写箱内明细、封箱底、套胶袋、放天地板、放干燥剂、封箱、称重、写记录表）</t>
  </si>
  <si>
    <t>拉箱入库/件</t>
  </si>
  <si>
    <t>制表人：钱玲燕      审核：　　　    　 审批：　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</si>
</sst>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  <numFmt numFmtId="178" formatCode="0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178" fontId="1" fillId="0" borderId="1" xfId="0" applyNumberFormat="1" applyFont="1" applyBorder="1" applyAlignment="1">
      <alignment vertical="center"/>
    </xf>
    <xf numFmtId="178" fontId="1" fillId="0" borderId="1" xfId="0" applyNumberFormat="1" applyFont="1" applyBorder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748665</xdr:colOff>
      <xdr:row>2</xdr:row>
      <xdr:rowOff>105410</xdr:rowOff>
    </xdr:from>
    <xdr:to>
      <xdr:col>8</xdr:col>
      <xdr:colOff>509904</xdr:colOff>
      <xdr:row>18</xdr:row>
      <xdr:rowOff>54610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9390" y="686435"/>
          <a:ext cx="2256155" cy="254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58"/>
  <sheetViews>
    <sheetView tabSelected="1" zoomScale="130" zoomScaleNormal="130" topLeftCell="A25" workbookViewId="0">
      <selection activeCell="A58" sqref="A58:I58"/>
    </sheetView>
  </sheetViews>
  <sheetFormatPr defaultColWidth="9" defaultRowHeight="12"/>
  <cols>
    <col min="1" max="1" width="9.625" style="1" customWidth="1"/>
    <col min="2" max="2" width="33.25" style="1" customWidth="1"/>
    <col min="3" max="3" width="3.125" style="1" hidden="1" customWidth="1"/>
    <col min="4" max="4" width="33.25" style="1" customWidth="1"/>
    <col min="5" max="5" width="10.375" style="1" customWidth="1"/>
    <col min="6" max="6" width="7.625" style="1" customWidth="1"/>
    <col min="7" max="7" width="7.125" style="1" customWidth="1"/>
    <col min="8" max="9" width="7.625" style="1" customWidth="1"/>
    <col min="10" max="99" width="9" style="1"/>
    <col min="100" max="100" width="59.625" style="1" customWidth="1"/>
    <col min="101" max="16384" width="9" style="1"/>
  </cols>
  <sheetData>
    <row r="1" ht="25.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0.2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>
      <c r="A3" s="4" t="s">
        <v>2</v>
      </c>
      <c r="B3" s="4"/>
      <c r="C3" s="4"/>
      <c r="D3" s="4"/>
      <c r="E3" s="4"/>
      <c r="F3" s="4"/>
      <c r="G3" s="4"/>
      <c r="H3" s="4"/>
      <c r="I3" s="4"/>
    </row>
    <row r="4" spans="1:9">
      <c r="A4" s="5" t="s">
        <v>3</v>
      </c>
      <c r="B4" s="6" t="s">
        <v>4</v>
      </c>
      <c r="C4" s="6"/>
      <c r="D4" s="6"/>
      <c r="E4" s="6"/>
      <c r="F4" s="6"/>
      <c r="G4" s="7"/>
      <c r="H4" s="7"/>
      <c r="I4" s="7"/>
    </row>
    <row r="5" spans="1:9">
      <c r="A5" s="5" t="s">
        <v>5</v>
      </c>
      <c r="B5" s="4" t="s">
        <v>6</v>
      </c>
      <c r="C5" s="4"/>
      <c r="D5" s="4"/>
      <c r="E5" s="4"/>
      <c r="F5" s="4"/>
      <c r="G5" s="7"/>
      <c r="H5" s="7"/>
      <c r="I5" s="7"/>
    </row>
    <row r="6" spans="1:9">
      <c r="A6" s="5" t="s">
        <v>7</v>
      </c>
      <c r="B6" s="6" t="s">
        <v>4</v>
      </c>
      <c r="C6" s="6"/>
      <c r="D6" s="6"/>
      <c r="E6" s="6"/>
      <c r="F6" s="6"/>
      <c r="G6" s="7"/>
      <c r="H6" s="7"/>
      <c r="I6" s="7"/>
    </row>
    <row r="7" customHeight="1" spans="1:100">
      <c r="A7" s="5" t="s">
        <v>8</v>
      </c>
      <c r="B7" s="8" t="s">
        <v>9</v>
      </c>
      <c r="C7" s="8"/>
      <c r="D7" s="8"/>
      <c r="E7" s="8"/>
      <c r="F7" s="8"/>
      <c r="G7" s="7"/>
      <c r="H7" s="7"/>
      <c r="I7" s="7"/>
      <c r="CV7" s="29"/>
    </row>
    <row r="8" customHeight="1" spans="1:100">
      <c r="A8" s="5" t="s">
        <v>10</v>
      </c>
      <c r="B8" s="8"/>
      <c r="C8" s="8"/>
      <c r="D8" s="8"/>
      <c r="E8" s="8"/>
      <c r="F8" s="8"/>
      <c r="G8" s="7"/>
      <c r="H8" s="7"/>
      <c r="I8" s="7"/>
      <c r="CV8" s="29"/>
    </row>
    <row r="9" spans="1:9">
      <c r="A9" s="5" t="s">
        <v>11</v>
      </c>
      <c r="B9" s="4"/>
      <c r="C9" s="4"/>
      <c r="D9" s="4"/>
      <c r="E9" s="4"/>
      <c r="F9" s="4"/>
      <c r="G9" s="7"/>
      <c r="H9" s="7"/>
      <c r="I9" s="7"/>
    </row>
    <row r="10" spans="1:9">
      <c r="A10" s="9" t="s">
        <v>12</v>
      </c>
      <c r="B10" s="4">
        <f>SUM(G32:G36)</f>
        <v>72.6</v>
      </c>
      <c r="C10" s="4"/>
      <c r="D10" s="4"/>
      <c r="E10" s="4"/>
      <c r="F10" s="4"/>
      <c r="G10" s="7"/>
      <c r="H10" s="7"/>
      <c r="I10" s="7"/>
    </row>
    <row r="11" ht="24" spans="1:9">
      <c r="A11" s="9" t="s">
        <v>13</v>
      </c>
      <c r="B11" s="10">
        <f>10.5*60*60/B10</f>
        <v>520.661157024793</v>
      </c>
      <c r="C11" s="10"/>
      <c r="D11" s="10"/>
      <c r="E11" s="10"/>
      <c r="F11" s="10"/>
      <c r="G11" s="7"/>
      <c r="H11" s="7"/>
      <c r="I11" s="7"/>
    </row>
    <row r="12" spans="1:9">
      <c r="A12" s="5" t="s">
        <v>14</v>
      </c>
      <c r="B12" s="4"/>
      <c r="C12" s="4"/>
      <c r="D12" s="4"/>
      <c r="E12" s="4"/>
      <c r="F12" s="4"/>
      <c r="G12" s="7"/>
      <c r="H12" s="7"/>
      <c r="I12" s="7"/>
    </row>
    <row r="13" spans="1:9">
      <c r="A13" s="5" t="s">
        <v>15</v>
      </c>
      <c r="B13" s="11"/>
      <c r="C13" s="11"/>
      <c r="D13" s="11"/>
      <c r="E13" s="11"/>
      <c r="F13" s="11"/>
      <c r="G13" s="7"/>
      <c r="H13" s="7"/>
      <c r="I13" s="7"/>
    </row>
    <row r="14" spans="1:9">
      <c r="A14" s="9" t="s">
        <v>16</v>
      </c>
      <c r="B14" s="4"/>
      <c r="C14" s="4"/>
      <c r="D14" s="4"/>
      <c r="E14" s="4"/>
      <c r="F14" s="4"/>
      <c r="G14" s="7"/>
      <c r="H14" s="7"/>
      <c r="I14" s="7"/>
    </row>
    <row r="15" spans="1:9">
      <c r="A15" s="9" t="s">
        <v>17</v>
      </c>
      <c r="B15" s="4"/>
      <c r="C15" s="4"/>
      <c r="D15" s="4"/>
      <c r="E15" s="4"/>
      <c r="F15" s="4"/>
      <c r="G15" s="7"/>
      <c r="H15" s="7"/>
      <c r="I15" s="7"/>
    </row>
    <row r="16" spans="1:9">
      <c r="A16" s="9" t="s">
        <v>18</v>
      </c>
      <c r="B16" s="4"/>
      <c r="C16" s="4"/>
      <c r="D16" s="4"/>
      <c r="E16" s="4"/>
      <c r="F16" s="4"/>
      <c r="G16" s="7"/>
      <c r="H16" s="7"/>
      <c r="I16" s="7"/>
    </row>
    <row r="17" spans="1:9">
      <c r="A17" s="9" t="s">
        <v>19</v>
      </c>
      <c r="B17" s="4"/>
      <c r="C17" s="4"/>
      <c r="D17" s="4"/>
      <c r="E17" s="4"/>
      <c r="F17" s="4"/>
      <c r="G17" s="7"/>
      <c r="H17" s="7"/>
      <c r="I17" s="7"/>
    </row>
    <row r="18" customHeight="1" spans="1:100">
      <c r="A18" s="5" t="s">
        <v>20</v>
      </c>
      <c r="B18" s="8"/>
      <c r="C18" s="8"/>
      <c r="D18" s="8"/>
      <c r="E18" s="8"/>
      <c r="F18" s="8"/>
      <c r="G18" s="7"/>
      <c r="H18" s="7"/>
      <c r="I18" s="7"/>
      <c r="CV18" s="29"/>
    </row>
    <row r="19" spans="1:9">
      <c r="A19" s="5" t="s">
        <v>21</v>
      </c>
      <c r="B19" s="4"/>
      <c r="C19" s="4"/>
      <c r="D19" s="4"/>
      <c r="E19" s="4"/>
      <c r="F19" s="4"/>
      <c r="G19" s="7"/>
      <c r="H19" s="7"/>
      <c r="I19" s="7"/>
    </row>
    <row r="20" spans="1:9">
      <c r="A20" s="12" t="s">
        <v>22</v>
      </c>
      <c r="B20" s="12" t="s">
        <v>23</v>
      </c>
      <c r="C20" s="12"/>
      <c r="D20" s="12"/>
      <c r="E20" s="12" t="s">
        <v>24</v>
      </c>
      <c r="F20" s="12" t="s">
        <v>25</v>
      </c>
      <c r="G20" s="12" t="s">
        <v>26</v>
      </c>
      <c r="H20" s="12" t="s">
        <v>27</v>
      </c>
      <c r="I20" s="12" t="s">
        <v>28</v>
      </c>
    </row>
    <row r="21" spans="1:9">
      <c r="A21" s="13"/>
      <c r="B21" s="14" t="s">
        <v>29</v>
      </c>
      <c r="C21" s="15"/>
      <c r="D21" s="14" t="s">
        <v>29</v>
      </c>
      <c r="E21" s="15"/>
      <c r="F21" s="15"/>
      <c r="G21" s="15"/>
      <c r="H21" s="15"/>
      <c r="I21" s="15"/>
    </row>
    <row r="22" spans="1:9">
      <c r="A22" s="16">
        <v>1</v>
      </c>
      <c r="B22" s="17" t="s">
        <v>30</v>
      </c>
      <c r="C22" s="18">
        <v>1</v>
      </c>
      <c r="D22" s="19" t="s">
        <v>31</v>
      </c>
      <c r="E22" s="19" t="s">
        <v>32</v>
      </c>
      <c r="F22" s="20">
        <v>3</v>
      </c>
      <c r="G22" s="20">
        <v>3.3</v>
      </c>
      <c r="H22" s="18" t="s">
        <v>33</v>
      </c>
      <c r="I22" s="27">
        <v>1091</v>
      </c>
    </row>
    <row r="23" spans="1:9">
      <c r="A23" s="16">
        <v>155</v>
      </c>
      <c r="B23" s="17" t="s">
        <v>34</v>
      </c>
      <c r="C23" s="18">
        <v>2</v>
      </c>
      <c r="D23" s="19" t="s">
        <v>35</v>
      </c>
      <c r="E23" s="19" t="s">
        <v>36</v>
      </c>
      <c r="F23" s="20">
        <v>7.3</v>
      </c>
      <c r="G23" s="20">
        <v>8.2</v>
      </c>
      <c r="H23" s="18" t="s">
        <v>37</v>
      </c>
      <c r="I23" s="27">
        <v>439</v>
      </c>
    </row>
    <row r="24" spans="1:9">
      <c r="A24" s="16">
        <v>2</v>
      </c>
      <c r="B24" s="17" t="s">
        <v>38</v>
      </c>
      <c r="C24" s="18">
        <v>3</v>
      </c>
      <c r="D24" s="19" t="s">
        <v>39</v>
      </c>
      <c r="E24" s="19" t="s">
        <v>40</v>
      </c>
      <c r="F24" s="20">
        <v>2.1</v>
      </c>
      <c r="G24" s="20">
        <v>2.1</v>
      </c>
      <c r="H24" s="18" t="s">
        <v>41</v>
      </c>
      <c r="I24" s="27">
        <v>1714</v>
      </c>
    </row>
    <row r="25" spans="1:9">
      <c r="A25" s="16">
        <v>5</v>
      </c>
      <c r="B25" s="17" t="s">
        <v>42</v>
      </c>
      <c r="C25" s="18">
        <v>4</v>
      </c>
      <c r="D25" s="19" t="s">
        <v>43</v>
      </c>
      <c r="E25" s="19" t="s">
        <v>44</v>
      </c>
      <c r="F25" s="20">
        <v>2.3</v>
      </c>
      <c r="G25" s="20">
        <v>2.5</v>
      </c>
      <c r="H25" s="18" t="s">
        <v>33</v>
      </c>
      <c r="I25" s="27">
        <v>1440</v>
      </c>
    </row>
    <row r="26" spans="1:9">
      <c r="A26" s="16">
        <v>170</v>
      </c>
      <c r="B26" s="17" t="s">
        <v>45</v>
      </c>
      <c r="C26" s="18">
        <v>5</v>
      </c>
      <c r="D26" s="19" t="s">
        <v>45</v>
      </c>
      <c r="E26" s="19" t="s">
        <v>44</v>
      </c>
      <c r="F26" s="20">
        <v>4.4</v>
      </c>
      <c r="G26" s="20">
        <v>4.9</v>
      </c>
      <c r="H26" s="18" t="s">
        <v>37</v>
      </c>
      <c r="I26" s="27">
        <v>735</v>
      </c>
    </row>
    <row r="27" spans="1:9">
      <c r="A27" s="16">
        <v>16</v>
      </c>
      <c r="B27" s="17" t="s">
        <v>46</v>
      </c>
      <c r="C27" s="18">
        <v>6</v>
      </c>
      <c r="D27" s="19" t="s">
        <v>47</v>
      </c>
      <c r="E27" s="19" t="s">
        <v>44</v>
      </c>
      <c r="F27" s="20">
        <v>2.3</v>
      </c>
      <c r="G27" s="20">
        <v>2.6</v>
      </c>
      <c r="H27" s="18" t="s">
        <v>33</v>
      </c>
      <c r="I27" s="27">
        <v>1385</v>
      </c>
    </row>
    <row r="28" spans="1:9">
      <c r="A28" s="16">
        <v>54</v>
      </c>
      <c r="B28" s="17" t="s">
        <v>48</v>
      </c>
      <c r="C28" s="18">
        <v>17</v>
      </c>
      <c r="D28" s="21" t="s">
        <v>49</v>
      </c>
      <c r="E28" s="21" t="s">
        <v>50</v>
      </c>
      <c r="F28" s="22">
        <v>17.2</v>
      </c>
      <c r="G28" s="22">
        <v>19.4</v>
      </c>
      <c r="H28" s="18" t="s">
        <v>51</v>
      </c>
      <c r="I28" s="28">
        <v>186</v>
      </c>
    </row>
    <row r="29" spans="1:9">
      <c r="A29" s="16">
        <v>11</v>
      </c>
      <c r="B29" s="17" t="s">
        <v>52</v>
      </c>
      <c r="C29" s="18"/>
      <c r="D29" s="19"/>
      <c r="E29" s="19"/>
      <c r="F29" s="20"/>
      <c r="G29" s="20"/>
      <c r="H29" s="18"/>
      <c r="I29" s="27"/>
    </row>
    <row r="30" spans="1:9">
      <c r="A30" s="13"/>
      <c r="B30" s="14" t="s">
        <v>53</v>
      </c>
      <c r="C30" s="23"/>
      <c r="D30" s="15" t="s">
        <v>53</v>
      </c>
      <c r="E30" s="15"/>
      <c r="F30" s="15"/>
      <c r="G30" s="15"/>
      <c r="H30" s="15"/>
      <c r="I30" s="15"/>
    </row>
    <row r="31" spans="1:9">
      <c r="A31" s="16">
        <v>27</v>
      </c>
      <c r="B31" s="17" t="s">
        <v>54</v>
      </c>
      <c r="C31" s="18">
        <v>7</v>
      </c>
      <c r="D31" s="19" t="s">
        <v>55</v>
      </c>
      <c r="E31" s="19" t="s">
        <v>44</v>
      </c>
      <c r="F31" s="20">
        <v>10.8</v>
      </c>
      <c r="G31" s="20">
        <v>11.9</v>
      </c>
      <c r="H31" s="18" t="s">
        <v>37</v>
      </c>
      <c r="I31" s="27">
        <v>303</v>
      </c>
    </row>
    <row r="32" spans="1:9">
      <c r="A32" s="16">
        <v>56</v>
      </c>
      <c r="B32" s="17" t="s">
        <v>56</v>
      </c>
      <c r="C32" s="18">
        <v>8</v>
      </c>
      <c r="D32" s="19" t="s">
        <v>56</v>
      </c>
      <c r="E32" s="19" t="s">
        <v>57</v>
      </c>
      <c r="F32" s="20">
        <v>8.4</v>
      </c>
      <c r="G32" s="20">
        <v>9.4</v>
      </c>
      <c r="H32" s="18" t="s">
        <v>58</v>
      </c>
      <c r="I32" s="27">
        <v>383</v>
      </c>
    </row>
    <row r="33" spans="1:9">
      <c r="A33" s="16">
        <v>21</v>
      </c>
      <c r="B33" s="17" t="s">
        <v>59</v>
      </c>
      <c r="C33" s="18">
        <v>9</v>
      </c>
      <c r="D33" s="19" t="s">
        <v>59</v>
      </c>
      <c r="E33" s="19" t="s">
        <v>60</v>
      </c>
      <c r="F33" s="20">
        <v>15.6</v>
      </c>
      <c r="G33" s="20">
        <v>17.4</v>
      </c>
      <c r="H33" s="18" t="s">
        <v>61</v>
      </c>
      <c r="I33" s="27">
        <v>207</v>
      </c>
    </row>
    <row r="34" spans="1:9">
      <c r="A34" s="16">
        <v>22</v>
      </c>
      <c r="B34" s="17" t="s">
        <v>62</v>
      </c>
      <c r="C34" s="18">
        <v>10</v>
      </c>
      <c r="D34" s="19" t="s">
        <v>62</v>
      </c>
      <c r="E34" s="19" t="s">
        <v>63</v>
      </c>
      <c r="F34" s="20">
        <v>29.8</v>
      </c>
      <c r="G34" s="20">
        <v>33.8</v>
      </c>
      <c r="H34" s="18" t="s">
        <v>64</v>
      </c>
      <c r="I34" s="27">
        <v>107</v>
      </c>
    </row>
    <row r="35" spans="1:9">
      <c r="A35" s="16">
        <v>23</v>
      </c>
      <c r="B35" s="17" t="s">
        <v>65</v>
      </c>
      <c r="C35" s="18">
        <v>11</v>
      </c>
      <c r="D35" s="19" t="s">
        <v>65</v>
      </c>
      <c r="E35" s="19" t="s">
        <v>44</v>
      </c>
      <c r="F35" s="20">
        <v>1.1</v>
      </c>
      <c r="G35" s="20">
        <v>1.2</v>
      </c>
      <c r="H35" s="18" t="s">
        <v>51</v>
      </c>
      <c r="I35" s="27">
        <v>3000</v>
      </c>
    </row>
    <row r="36" spans="1:9">
      <c r="A36" s="16">
        <v>24</v>
      </c>
      <c r="B36" s="17" t="s">
        <v>66</v>
      </c>
      <c r="C36" s="18">
        <v>12</v>
      </c>
      <c r="D36" s="19" t="s">
        <v>66</v>
      </c>
      <c r="E36" s="19" t="s">
        <v>57</v>
      </c>
      <c r="F36" s="20">
        <v>9.8</v>
      </c>
      <c r="G36" s="20">
        <v>10.8</v>
      </c>
      <c r="H36" s="18" t="s">
        <v>58</v>
      </c>
      <c r="I36" s="27">
        <v>333</v>
      </c>
    </row>
    <row r="37" spans="1:9">
      <c r="A37" s="16">
        <v>120</v>
      </c>
      <c r="B37" s="17" t="s">
        <v>67</v>
      </c>
      <c r="C37" s="18">
        <v>13</v>
      </c>
      <c r="D37" s="19" t="s">
        <v>68</v>
      </c>
      <c r="E37" s="19" t="s">
        <v>69</v>
      </c>
      <c r="F37" s="20">
        <v>14.4</v>
      </c>
      <c r="G37" s="20">
        <v>15.9</v>
      </c>
      <c r="H37" s="18" t="s">
        <v>70</v>
      </c>
      <c r="I37" s="27">
        <v>226</v>
      </c>
    </row>
    <row r="38" spans="1:9">
      <c r="A38" s="13"/>
      <c r="B38" s="14" t="s">
        <v>71</v>
      </c>
      <c r="C38" s="13"/>
      <c r="D38" s="14" t="s">
        <v>71</v>
      </c>
      <c r="E38" s="15"/>
      <c r="F38" s="15"/>
      <c r="G38" s="15"/>
      <c r="H38" s="15"/>
      <c r="I38" s="15"/>
    </row>
    <row r="39" spans="1:9">
      <c r="A39" s="16">
        <v>35</v>
      </c>
      <c r="B39" s="17" t="s">
        <v>72</v>
      </c>
      <c r="C39" s="18">
        <v>14</v>
      </c>
      <c r="D39" s="19" t="s">
        <v>72</v>
      </c>
      <c r="E39" s="19" t="s">
        <v>73</v>
      </c>
      <c r="F39" s="20">
        <v>51</v>
      </c>
      <c r="G39" s="20">
        <v>56.3</v>
      </c>
      <c r="H39" s="18" t="s">
        <v>70</v>
      </c>
      <c r="I39" s="27">
        <v>64</v>
      </c>
    </row>
    <row r="40" spans="1:9">
      <c r="A40" s="16">
        <v>34</v>
      </c>
      <c r="B40" s="17" t="s">
        <v>74</v>
      </c>
      <c r="C40" s="18">
        <v>15</v>
      </c>
      <c r="D40" s="19" t="s">
        <v>74</v>
      </c>
      <c r="E40" s="19" t="s">
        <v>44</v>
      </c>
      <c r="F40" s="20">
        <v>13.5</v>
      </c>
      <c r="G40" s="20">
        <v>15.9</v>
      </c>
      <c r="H40" s="18" t="s">
        <v>51</v>
      </c>
      <c r="I40" s="27">
        <v>226</v>
      </c>
    </row>
    <row r="41" spans="1:9">
      <c r="A41" s="24"/>
      <c r="B41" s="19" t="s">
        <v>75</v>
      </c>
      <c r="C41" s="18"/>
      <c r="D41" s="19" t="s">
        <v>75</v>
      </c>
      <c r="E41" s="19"/>
      <c r="F41" s="20"/>
      <c r="G41" s="20"/>
      <c r="H41" s="18"/>
      <c r="I41" s="27"/>
    </row>
    <row r="42" spans="1:9">
      <c r="A42" s="16">
        <v>104</v>
      </c>
      <c r="B42" s="17" t="s">
        <v>76</v>
      </c>
      <c r="C42" s="18">
        <v>19</v>
      </c>
      <c r="D42" s="19" t="s">
        <v>76</v>
      </c>
      <c r="E42" s="19" t="s">
        <v>44</v>
      </c>
      <c r="F42" s="20">
        <v>20</v>
      </c>
      <c r="G42" s="20">
        <v>22.1</v>
      </c>
      <c r="H42" s="18" t="s">
        <v>70</v>
      </c>
      <c r="I42" s="27">
        <v>163</v>
      </c>
    </row>
    <row r="43" spans="1:9">
      <c r="A43" s="16">
        <v>103</v>
      </c>
      <c r="B43" s="17" t="s">
        <v>77</v>
      </c>
      <c r="C43" s="18">
        <v>18</v>
      </c>
      <c r="D43" s="19" t="s">
        <v>77</v>
      </c>
      <c r="E43" s="19" t="s">
        <v>78</v>
      </c>
      <c r="F43" s="20">
        <v>17.7</v>
      </c>
      <c r="G43" s="20">
        <v>19.9</v>
      </c>
      <c r="H43" s="18" t="s">
        <v>61</v>
      </c>
      <c r="I43" s="27">
        <v>181</v>
      </c>
    </row>
    <row r="44" spans="1:9">
      <c r="A44" s="16"/>
      <c r="B44" s="17" t="s">
        <v>79</v>
      </c>
      <c r="C44" s="18">
        <v>20</v>
      </c>
      <c r="D44" s="19" t="s">
        <v>79</v>
      </c>
      <c r="E44" s="19" t="s">
        <v>44</v>
      </c>
      <c r="F44" s="20">
        <v>5.7</v>
      </c>
      <c r="G44" s="20">
        <v>6.3</v>
      </c>
      <c r="H44" s="18" t="s">
        <v>51</v>
      </c>
      <c r="I44" s="27">
        <v>571</v>
      </c>
    </row>
    <row r="45" spans="1:9">
      <c r="A45" s="16">
        <v>105</v>
      </c>
      <c r="B45" s="17" t="s">
        <v>80</v>
      </c>
      <c r="C45" s="18">
        <v>34</v>
      </c>
      <c r="D45" s="19" t="s">
        <v>80</v>
      </c>
      <c r="E45" s="19" t="s">
        <v>44</v>
      </c>
      <c r="F45" s="20">
        <v>13.3</v>
      </c>
      <c r="G45" s="20">
        <v>14.7</v>
      </c>
      <c r="H45" s="18" t="s">
        <v>70</v>
      </c>
      <c r="I45" s="27">
        <v>245</v>
      </c>
    </row>
    <row r="46" spans="1:9">
      <c r="A46" s="16"/>
      <c r="B46" s="17" t="s">
        <v>81</v>
      </c>
      <c r="C46" s="18">
        <v>21</v>
      </c>
      <c r="D46" s="19" t="s">
        <v>81</v>
      </c>
      <c r="E46" s="19" t="s">
        <v>44</v>
      </c>
      <c r="F46" s="20">
        <v>2.9</v>
      </c>
      <c r="G46" s="20">
        <v>3.2</v>
      </c>
      <c r="H46" s="18" t="s">
        <v>51</v>
      </c>
      <c r="I46" s="27">
        <v>1125</v>
      </c>
    </row>
    <row r="47" spans="1:9">
      <c r="A47" s="16">
        <v>172</v>
      </c>
      <c r="B47" s="17" t="s">
        <v>82</v>
      </c>
      <c r="C47" s="18">
        <v>22</v>
      </c>
      <c r="D47" s="19" t="s">
        <v>82</v>
      </c>
      <c r="E47" s="19" t="s">
        <v>44</v>
      </c>
      <c r="F47" s="20">
        <v>3.7</v>
      </c>
      <c r="G47" s="20">
        <v>4.1</v>
      </c>
      <c r="H47" s="18" t="s">
        <v>51</v>
      </c>
      <c r="I47" s="27">
        <v>878</v>
      </c>
    </row>
    <row r="48" spans="1:9">
      <c r="A48" s="16">
        <v>107</v>
      </c>
      <c r="B48" s="17" t="s">
        <v>83</v>
      </c>
      <c r="C48" s="18">
        <v>24</v>
      </c>
      <c r="D48" s="19" t="s">
        <v>83</v>
      </c>
      <c r="E48" s="19" t="s">
        <v>44</v>
      </c>
      <c r="F48" s="20">
        <v>16</v>
      </c>
      <c r="G48" s="20">
        <v>17.7</v>
      </c>
      <c r="H48" s="18" t="s">
        <v>51</v>
      </c>
      <c r="I48" s="27">
        <v>203</v>
      </c>
    </row>
    <row r="49" spans="1:9">
      <c r="A49" s="16">
        <v>140</v>
      </c>
      <c r="B49" s="17" t="s">
        <v>84</v>
      </c>
      <c r="C49" s="18">
        <v>25</v>
      </c>
      <c r="D49" s="19" t="s">
        <v>84</v>
      </c>
      <c r="E49" s="19" t="s">
        <v>44</v>
      </c>
      <c r="F49" s="20">
        <v>2.9</v>
      </c>
      <c r="G49" s="20">
        <v>3.2</v>
      </c>
      <c r="H49" s="18" t="s">
        <v>51</v>
      </c>
      <c r="I49" s="27">
        <v>1125</v>
      </c>
    </row>
    <row r="50" spans="1:9">
      <c r="A50" s="16">
        <v>154</v>
      </c>
      <c r="B50" s="17" t="s">
        <v>85</v>
      </c>
      <c r="C50" s="18">
        <v>26</v>
      </c>
      <c r="D50" s="19" t="s">
        <v>85</v>
      </c>
      <c r="E50" s="19" t="s">
        <v>44</v>
      </c>
      <c r="F50" s="20">
        <v>11.7</v>
      </c>
      <c r="G50" s="20">
        <v>12.9</v>
      </c>
      <c r="H50" s="18" t="s">
        <v>51</v>
      </c>
      <c r="I50" s="27">
        <v>279</v>
      </c>
    </row>
    <row r="51" spans="1:9">
      <c r="A51" s="16">
        <v>102</v>
      </c>
      <c r="B51" s="17" t="s">
        <v>86</v>
      </c>
      <c r="C51" s="18">
        <v>27</v>
      </c>
      <c r="D51" s="19" t="s">
        <v>86</v>
      </c>
      <c r="E51" s="19" t="s">
        <v>44</v>
      </c>
      <c r="F51" s="20">
        <v>3.8</v>
      </c>
      <c r="G51" s="20">
        <v>4.2</v>
      </c>
      <c r="H51" s="18" t="s">
        <v>51</v>
      </c>
      <c r="I51" s="27">
        <v>857</v>
      </c>
    </row>
    <row r="52" spans="1:9">
      <c r="A52" s="16">
        <v>121</v>
      </c>
      <c r="B52" s="17" t="s">
        <v>87</v>
      </c>
      <c r="C52" s="18">
        <v>29</v>
      </c>
      <c r="D52" s="19" t="s">
        <v>87</v>
      </c>
      <c r="E52" s="19" t="s">
        <v>44</v>
      </c>
      <c r="F52" s="20">
        <v>12.3</v>
      </c>
      <c r="G52" s="20">
        <v>13.6</v>
      </c>
      <c r="H52" s="18" t="s">
        <v>51</v>
      </c>
      <c r="I52" s="27">
        <v>265</v>
      </c>
    </row>
    <row r="53" spans="1:9">
      <c r="A53" s="16">
        <v>152</v>
      </c>
      <c r="B53" s="17" t="s">
        <v>88</v>
      </c>
      <c r="C53" s="18">
        <v>31</v>
      </c>
      <c r="D53" s="19" t="s">
        <v>88</v>
      </c>
      <c r="E53" s="19" t="s">
        <v>44</v>
      </c>
      <c r="F53" s="20">
        <v>1.4</v>
      </c>
      <c r="G53" s="20">
        <v>1.6</v>
      </c>
      <c r="H53" s="18" t="s">
        <v>51</v>
      </c>
      <c r="I53" s="27">
        <v>2250</v>
      </c>
    </row>
    <row r="54" ht="36" spans="1:9">
      <c r="A54" s="16">
        <v>165</v>
      </c>
      <c r="B54" s="25" t="s">
        <v>89</v>
      </c>
      <c r="C54" s="18">
        <v>32</v>
      </c>
      <c r="D54" s="21" t="s">
        <v>89</v>
      </c>
      <c r="E54" s="19" t="s">
        <v>44</v>
      </c>
      <c r="F54" s="20">
        <v>4.5</v>
      </c>
      <c r="G54" s="20">
        <v>5</v>
      </c>
      <c r="H54" s="18" t="s">
        <v>51</v>
      </c>
      <c r="I54" s="27">
        <v>720</v>
      </c>
    </row>
    <row r="55" spans="1:9">
      <c r="A55" s="16">
        <v>169</v>
      </c>
      <c r="B55" s="17" t="s">
        <v>90</v>
      </c>
      <c r="C55" s="18">
        <v>33</v>
      </c>
      <c r="D55" s="19" t="s">
        <v>90</v>
      </c>
      <c r="E55" s="19" t="s">
        <v>44</v>
      </c>
      <c r="F55" s="20">
        <v>1</v>
      </c>
      <c r="G55" s="20">
        <v>1.1</v>
      </c>
      <c r="H55" s="18" t="s">
        <v>51</v>
      </c>
      <c r="I55" s="27">
        <v>3273</v>
      </c>
    </row>
    <row r="56" spans="1:9">
      <c r="A56" s="26"/>
      <c r="B56" s="26"/>
      <c r="C56" s="26"/>
      <c r="D56" s="26"/>
      <c r="E56" s="26"/>
      <c r="F56" s="26"/>
      <c r="G56" s="26"/>
      <c r="H56" s="26"/>
      <c r="I56" s="26"/>
    </row>
    <row r="57" spans="1:1">
      <c r="A57" s="1" t="s">
        <v>91</v>
      </c>
    </row>
  </sheetData>
  <mergeCells count="22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A57:I57"/>
    <mergeCell ref="A58:I58"/>
    <mergeCell ref="G4:I19"/>
  </mergeCells>
  <conditionalFormatting sqref="A22:A55">
    <cfRule type="duplicateValues" dxfId="0" priority="1"/>
  </conditionalFormatting>
  <printOptions horizontalCentered="1"/>
  <pageMargins left="0.0791666666666667" right="0.0791666666666667" top="0.396527777777778" bottom="0.396527777777778" header="0.197916666666667" footer="0.197916666666667"/>
  <pageSetup paperSize="9" orientation="portrait"/>
  <headerFooter>
    <oddFooter>&amp;R&amp;D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AAV20932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2025-09-04T08:55:00Z</dcterms:created>
  <dcterms:modified xsi:type="dcterms:W3CDTF">2025-09-17T01:18:58Z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9BDE0D713E014952862B41629C5DBE06_11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