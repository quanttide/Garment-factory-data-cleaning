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17Z0006 (2)" sheetId="2" r:id="rId1"/>
    <sheet name="17Z0006-财务" sheetId="3" r:id="rId2"/>
  </sheets>
  <externalReferences>
    <externalReference r:id="rId3"/>
  </externalReferences>
  <definedNames>
    <definedName name="_xlnm._FilterDatabase" localSheetId="0" hidden="1">'17Z0006 (2)'!$A$20:$CN$112</definedName>
    <definedName name="_xlnm._FilterDatabase" localSheetId="1" hidden="1">'17Z0006-财务'!$A$20:$CN$107</definedName>
    <definedName name="_xlnm.Print_Titles" localSheetId="0">'17Z0006 (2)'!$1:$11</definedName>
    <definedName name="_xlnm.Print_Titles" localSheetId="1">'17Z0006-财务'!$1:$11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<sst xmlns="http://schemas.openxmlformats.org/spreadsheetml/2006/main" count="709" uniqueCount="210">
  <si>
    <t>重庆尚上服饰有限公司</t>
  </si>
  <si>
    <t>款式工序表</t>
  </si>
  <si>
    <t>打印日期：2025-06-23 17:44:07</t>
  </si>
  <si>
    <t>生产制单号：</t>
  </si>
  <si>
    <t>==</t>
  </si>
  <si>
    <t>客　　户：</t>
  </si>
  <si>
    <t>上海润昌</t>
  </si>
  <si>
    <t>客户款号：</t>
  </si>
  <si>
    <t>17Z0006</t>
  </si>
  <si>
    <t>款式描述：</t>
  </si>
  <si>
    <t>10Z0009(17Z0006子单)童装针织夹克长袖(领圈有织带、袖口、下摆包弹力带，贴袋鼠袋(袋口角打套结)</t>
  </si>
  <si>
    <t>品质标准：</t>
  </si>
  <si>
    <t>数　　量：</t>
  </si>
  <si>
    <t>车缝时间：</t>
  </si>
  <si>
    <t>车缝10.5H台产：</t>
  </si>
  <si>
    <t>裁床10H台产：</t>
  </si>
  <si>
    <t>尾部10H台产</t>
  </si>
  <si>
    <t>裁床单价：</t>
  </si>
  <si>
    <t>车缝单价：</t>
  </si>
  <si>
    <t>后道单价：</t>
  </si>
  <si>
    <t>总 单 价：</t>
  </si>
  <si>
    <t>平均秒值：</t>
  </si>
  <si>
    <t>分 析 员：</t>
  </si>
  <si>
    <t>XXT-徐显婷</t>
  </si>
  <si>
    <t>工序号</t>
  </si>
  <si>
    <t>润丰工序名称</t>
  </si>
  <si>
    <t>工序名称</t>
  </si>
  <si>
    <t>机器类型</t>
  </si>
  <si>
    <t>基础时间</t>
  </si>
  <si>
    <t>GST时间</t>
  </si>
  <si>
    <t>工序等级</t>
  </si>
  <si>
    <t>小时目标</t>
  </si>
  <si>
    <t>1-裁床</t>
  </si>
  <si>
    <t>松布机面布*0.94</t>
  </si>
  <si>
    <t>松布机</t>
  </si>
  <si>
    <t>E1</t>
  </si>
  <si>
    <t>松布机松帽沿贴布*0.043</t>
  </si>
  <si>
    <t>E2</t>
  </si>
  <si>
    <t>拉面布</t>
  </si>
  <si>
    <t>手工拉面布*0.94</t>
  </si>
  <si>
    <t>手工</t>
  </si>
  <si>
    <t>E3</t>
  </si>
  <si>
    <t>裁面布</t>
  </si>
  <si>
    <t>手工裁剪面布*10</t>
  </si>
  <si>
    <t>D4</t>
  </si>
  <si>
    <t>面布分包</t>
  </si>
  <si>
    <t>手工面布分包*10</t>
  </si>
  <si>
    <t>配布拉布</t>
  </si>
  <si>
    <t>拉布机拉帽沿贴布*0.043（含拉链保护贴）</t>
  </si>
  <si>
    <t>拉布机</t>
  </si>
  <si>
    <t>配布裁剪</t>
  </si>
  <si>
    <t>电脑裁剪帽沿贴布*2(保护贴两片算一片）</t>
  </si>
  <si>
    <t>电脑裁剪</t>
  </si>
  <si>
    <t>配布分包</t>
  </si>
  <si>
    <t>帽沿贴分包*1（大包）</t>
  </si>
  <si>
    <t>拉衬布</t>
  </si>
  <si>
    <t>拉布机拉衬布*0.043</t>
  </si>
  <si>
    <t>裁衬布</t>
  </si>
  <si>
    <t>裁剪衬布*2(保护贴衬两片算一片）</t>
  </si>
  <si>
    <t>电脑裁床</t>
  </si>
  <si>
    <t>衬布分包</t>
  </si>
  <si>
    <t>帽檐贴衬分大包*1（保护贴贴衬部分包）</t>
  </si>
  <si>
    <t>验片/配片</t>
  </si>
  <si>
    <t>验片/配补片*10</t>
  </si>
  <si>
    <t>中烫帽檐衬*1</t>
  </si>
  <si>
    <t>中烫（气烫）</t>
  </si>
  <si>
    <t>中烫拉链保护贴衬</t>
  </si>
  <si>
    <t>中烫拉链保护贴衬*2</t>
  </si>
  <si>
    <t>下裁片</t>
  </si>
  <si>
    <t>2-帽子</t>
  </si>
  <si>
    <t>烫帽贴实样</t>
  </si>
  <si>
    <t>实样折烫帽檐边止口*1（台面划位摆放）</t>
  </si>
  <si>
    <t>D2</t>
  </si>
  <si>
    <t>四线合帽中拼缝*2</t>
  </si>
  <si>
    <t>电脑四线锁边车</t>
  </si>
  <si>
    <t>C4</t>
  </si>
  <si>
    <t>单针冚车压帽中明线*2</t>
  </si>
  <si>
    <t>电脑单针双线冚车</t>
  </si>
  <si>
    <t>平车落帽檐贴暗线*1</t>
  </si>
  <si>
    <t>自动模板落帽檐贴暗线*1</t>
  </si>
  <si>
    <t>电脑平车</t>
  </si>
  <si>
    <t>C1</t>
  </si>
  <si>
    <t>平车压帽檐暗边线*1</t>
  </si>
  <si>
    <t>平车补帽檐贴暗线一段连压帽檐贴暗边线*1</t>
  </si>
  <si>
    <t>3-前片</t>
  </si>
  <si>
    <t>花样机订前袋标*1</t>
  </si>
  <si>
    <t>平车订前袋标*1（车台定位）</t>
  </si>
  <si>
    <t>C2</t>
  </si>
  <si>
    <t>平车折订拉链头码带2*1</t>
  </si>
  <si>
    <t>手工模板落前中拉链保护贴1*2</t>
  </si>
  <si>
    <t>手工模板落前中拉链护贴连反折固定2*1</t>
  </si>
  <si>
    <t>冚车冚前袋口明线*2</t>
  </si>
  <si>
    <t>电脑双针三线冚车</t>
  </si>
  <si>
    <t>实样包布烫前袋止口*2</t>
  </si>
  <si>
    <t>实样包布烫前袋三边止口*2</t>
  </si>
  <si>
    <t>D3</t>
  </si>
  <si>
    <t>实样点袋口位*2*5</t>
  </si>
  <si>
    <t>实样扫粉前袋口位*2</t>
  </si>
  <si>
    <t>平车贴前袋四边*2</t>
  </si>
  <si>
    <t>平车贴前袋三边明线连一边散口*2</t>
  </si>
  <si>
    <t>B1</t>
  </si>
  <si>
    <t>刀修前中袋布位止口*2*1</t>
  </si>
  <si>
    <t>刀车修直袋布前中边纹路*2（裁片操作)</t>
  </si>
  <si>
    <t>无针切刀车</t>
  </si>
  <si>
    <t>D1</t>
  </si>
  <si>
    <t>刀修门襟止口</t>
  </si>
  <si>
    <t>带线刀车修直前中纹路*2（裁片操作）</t>
  </si>
  <si>
    <t>电脑单针切刀车</t>
  </si>
  <si>
    <t>4-组合</t>
  </si>
  <si>
    <t>挂片</t>
  </si>
  <si>
    <t>挂片/配补片</t>
  </si>
  <si>
    <t>蒸箱蒸弹力线（个）</t>
  </si>
  <si>
    <t>蒸箱</t>
  </si>
  <si>
    <t>领织带缩水连回/米</t>
  </si>
  <si>
    <t>领织带、弹力带缩水连回/米</t>
  </si>
  <si>
    <t>热切机量剪后领挂耳织带*1</t>
  </si>
  <si>
    <t>热切机量剪拉链拉手织带*1</t>
  </si>
  <si>
    <t>#四线合肩缝连落透明肩带*2</t>
  </si>
  <si>
    <t>四线对位上开袖*2</t>
  </si>
  <si>
    <t>单针双线冚车拉袖口弹力包边带连剪断*2</t>
  </si>
  <si>
    <t>单针冚车拉袖口弹力包边带连剪断*2</t>
  </si>
  <si>
    <t>四线对位合侧缝及袖底缝*2</t>
  </si>
  <si>
    <t>四线对位合侧缝连袖底缝*2（袖口已固定）</t>
  </si>
  <si>
    <t>合订洗标、追踪标</t>
  </si>
  <si>
    <t>平车订洗标、追终标于左后侧*1（车台定位）</t>
  </si>
  <si>
    <t>放洗标</t>
  </si>
  <si>
    <t>平车滴针袖口锁边点及固定袖口捆条*2</t>
  </si>
  <si>
    <t>平车折叠锁边线折订袖底骨位*2</t>
  </si>
  <si>
    <t>平车合袖口捆条一段*2</t>
  </si>
  <si>
    <t>手工点帽三刀眼位*1（台面定位）</t>
  </si>
  <si>
    <t>四线对位上帽*1</t>
  </si>
  <si>
    <t>量剪后领织带*1</t>
  </si>
  <si>
    <t>平车带筒拉帽咀、领缝弹力织带连剪段*1（比帽咀宽窄）</t>
  </si>
  <si>
    <t>65和44工序合并在一起</t>
  </si>
  <si>
    <t>平车落后领织带于帽咀两头*1(点织带中位）</t>
  </si>
  <si>
    <t>冚车拉筒倒骨拉下摆弹力包边带连剪断*1</t>
  </si>
  <si>
    <t>单针冚车拉筒倒骨拉下摆弹力包边带连剪断*1（两端修平）</t>
  </si>
  <si>
    <t>拆下摆捆条两头一段*2</t>
  </si>
  <si>
    <t>拆下摆捆条两头一段*2（约2-3CM)</t>
  </si>
  <si>
    <t>平车单层落下摆咀包边带2*1</t>
  </si>
  <si>
    <t>平车单层落下摆咀包边带2*1（约1-1.5CM）</t>
  </si>
  <si>
    <t>平车对位上前中拉链连下摆捆条*2*1</t>
  </si>
  <si>
    <t>平车对位上前中拉链2*1（吃势大）</t>
  </si>
  <si>
    <t>A1</t>
  </si>
  <si>
    <t>平车运翻下摆咀织带连压织带明线2*1</t>
  </si>
  <si>
    <t>平车运翻下摆咀织带连压织带明线2*1（修止口）</t>
  </si>
  <si>
    <t>平车运返帽咀暗线*2（修止口）</t>
  </si>
  <si>
    <t>平车对位落领缝织带*1</t>
  </si>
  <si>
    <t>平车封帽咀两边织带连压领织带明线*1</t>
  </si>
  <si>
    <t>B4</t>
  </si>
  <si>
    <t>49和50工序合并在一起</t>
  </si>
  <si>
    <t>平车压领织带明线连落尺码标及挂耳*1</t>
  </si>
  <si>
    <t>平车订后领主标、织带挂耳*1</t>
  </si>
  <si>
    <t>平车压前中拉链明线2*1</t>
  </si>
  <si>
    <t>平车压帽沿贴宽明线*1（车台定位）</t>
  </si>
  <si>
    <t>B3</t>
  </si>
  <si>
    <t>穿拉链拉手连固定2次*1（车台定位）</t>
  </si>
  <si>
    <t>平车穿订拉链织带连反折固定*1（单独拉链操作）</t>
  </si>
  <si>
    <t>中查</t>
  </si>
  <si>
    <t>检验</t>
  </si>
  <si>
    <t>组检成品</t>
  </si>
  <si>
    <t>E4</t>
  </si>
  <si>
    <t>5-专机</t>
  </si>
  <si>
    <t>打枣机打前袋口枣*4</t>
  </si>
  <si>
    <t>电脑打枣车</t>
  </si>
  <si>
    <t>打枣</t>
  </si>
  <si>
    <t>打枣机打拉链拉手枣*1</t>
  </si>
  <si>
    <t>6-尾部</t>
  </si>
  <si>
    <t>尾部收货</t>
  </si>
  <si>
    <t>大烫</t>
  </si>
  <si>
    <t>大烫（整件熏烫）</t>
  </si>
  <si>
    <t>整烫（尾部）</t>
  </si>
  <si>
    <t>大烫折烫拉链三角贴</t>
  </si>
  <si>
    <t>尾查</t>
  </si>
  <si>
    <t>检验/剪线毛</t>
  </si>
  <si>
    <t>手工吸线毛</t>
  </si>
  <si>
    <t>手工吸线毛*1(正反面）翻衣服两次</t>
  </si>
  <si>
    <t>穿吊牌</t>
  </si>
  <si>
    <t>手工穿吊牌于挂绳*1（打结）</t>
  </si>
  <si>
    <t>分色/分码</t>
  </si>
  <si>
    <t>查码</t>
  </si>
  <si>
    <t>手工分缸号*1</t>
  </si>
  <si>
    <t>包装搬运</t>
  </si>
  <si>
    <t>粘浮毛</t>
  </si>
  <si>
    <t>手工清正面浮毛*1</t>
  </si>
  <si>
    <t>折叠</t>
  </si>
  <si>
    <t>手工单件折叠*1</t>
  </si>
  <si>
    <t>单件装袋</t>
  </si>
  <si>
    <t>单件装袋*1（放干燥剂）（网单640件)</t>
  </si>
  <si>
    <t>贴胶袋贴纸</t>
  </si>
  <si>
    <t>贴胶袋贴纸*1（网单640件)</t>
  </si>
  <si>
    <t>贴条形尺码条</t>
  </si>
  <si>
    <t>贴条形尺码条*1</t>
  </si>
  <si>
    <t>验针</t>
  </si>
  <si>
    <t>验针机验针</t>
  </si>
  <si>
    <t>手工贴牛皮纸箱贴60箱</t>
  </si>
  <si>
    <t>Y113</t>
  </si>
  <si>
    <t>手工成品箱贴牛皮纸箱贴*4(60箱)</t>
  </si>
  <si>
    <t>手工贴牛皮纸箱贴716箱</t>
  </si>
  <si>
    <t>Y114</t>
  </si>
  <si>
    <t>手工贴牛皮纸箱贴*4(716箱)</t>
  </si>
  <si>
    <t>气枪吹前袋扫粉</t>
  </si>
  <si>
    <t>装箱前检查</t>
  </si>
  <si>
    <t>装箱前检查包装</t>
  </si>
  <si>
    <t>混色混码配比</t>
  </si>
  <si>
    <t>混色混码配比*1</t>
  </si>
  <si>
    <t>装箱</t>
  </si>
  <si>
    <t>装箱32-36件一箱(写箱号  贴箱贴 放干燥剂 封箱 装箱 放天地板 封箱 称箱 放箱)</t>
  </si>
  <si>
    <t>拉箱入库</t>
  </si>
  <si>
    <t>制表人：钱玲燕      审核：　　　    　 审批：　        批准：                          　　　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</si>
</sst>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_ "/>
    <numFmt numFmtId="178" formatCode="0_ "/>
  </numFmts>
  <fonts count="27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9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28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4" fillId="0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6" fillId="0" borderId="1" xfId="0" applyFont="1" applyFill="1" applyBorder="1">
      <alignment vertical="center"/>
    </xf>
    <xf numFmtId="49" fontId="1" fillId="0" borderId="1" xfId="0" applyNumberFormat="1" applyFont="1" applyFill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 wrapText="1"/>
    </xf>
    <xf numFmtId="176" fontId="1" fillId="0" borderId="1" xfId="0" applyNumberFormat="1" applyFont="1" applyFill="1" applyBorder="1" applyAlignment="1">
      <alignment horizontal="left" vertical="center"/>
    </xf>
    <xf numFmtId="176" fontId="1" fillId="0" borderId="1" xfId="0" applyNumberFormat="1" applyFont="1" applyBorder="1" applyAlignment="1">
      <alignment horizontal="left" vertical="center"/>
    </xf>
    <xf numFmtId="176" fontId="1" fillId="0" borderId="1" xfId="0" applyNumberFormat="1" applyFont="1" applyBorder="1" applyAlignment="1">
      <alignment horizontal="left" vertical="center" wrapText="1"/>
    </xf>
    <xf numFmtId="9" fontId="1" fillId="0" borderId="1" xfId="0" applyNumberFormat="1" applyFont="1" applyFill="1" applyBorder="1" applyAlignment="1">
      <alignment horizontal="left" vertical="center"/>
    </xf>
    <xf numFmtId="9" fontId="1" fillId="0" borderId="1" xfId="0" applyNumberFormat="1" applyFont="1" applyBorder="1" applyAlignment="1">
      <alignment horizontal="left" vertical="center"/>
    </xf>
    <xf numFmtId="9" fontId="1" fillId="0" borderId="1" xfId="0" applyNumberFormat="1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>
      <alignment vertical="center"/>
    </xf>
    <xf numFmtId="0" fontId="6" fillId="0" borderId="1" xfId="0" applyFont="1" applyBorder="1">
      <alignment vertical="center"/>
    </xf>
    <xf numFmtId="49" fontId="1" fillId="3" borderId="1" xfId="0" applyNumberFormat="1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 wrapText="1"/>
    </xf>
    <xf numFmtId="177" fontId="1" fillId="0" borderId="1" xfId="0" applyNumberFormat="1" applyFont="1" applyBorder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vertical="center" wrapText="1"/>
    </xf>
    <xf numFmtId="177" fontId="3" fillId="0" borderId="1" xfId="0" applyNumberFormat="1" applyFont="1" applyFill="1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3" borderId="1" xfId="0" applyFont="1" applyFill="1" applyBorder="1">
      <alignment vertical="center"/>
    </xf>
    <xf numFmtId="0" fontId="6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vertical="center" wrapText="1"/>
    </xf>
    <xf numFmtId="177" fontId="1" fillId="0" borderId="1" xfId="0" applyNumberFormat="1" applyFont="1" applyFill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vertical="center" wrapText="1"/>
    </xf>
    <xf numFmtId="49" fontId="1" fillId="0" borderId="2" xfId="0" applyNumberFormat="1" applyFont="1" applyFill="1" applyBorder="1" applyAlignment="1">
      <alignment vertical="center" wrapText="1"/>
    </xf>
    <xf numFmtId="177" fontId="1" fillId="0" borderId="2" xfId="0" applyNumberFormat="1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49" fontId="1" fillId="0" borderId="2" xfId="0" applyNumberFormat="1" applyFont="1" applyFill="1" applyBorder="1" applyAlignment="1">
      <alignment horizontal="center" vertical="center" wrapText="1"/>
    </xf>
    <xf numFmtId="177" fontId="1" fillId="0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 wrapText="1"/>
    </xf>
    <xf numFmtId="177" fontId="1" fillId="0" borderId="3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178" fontId="1" fillId="0" borderId="1" xfId="0" applyNumberFormat="1" applyFont="1" applyBorder="1">
      <alignment vertical="center"/>
    </xf>
    <xf numFmtId="178" fontId="3" fillId="0" borderId="1" xfId="0" applyNumberFormat="1" applyFont="1" applyFill="1" applyBorder="1">
      <alignment vertical="center"/>
    </xf>
    <xf numFmtId="178" fontId="1" fillId="0" borderId="1" xfId="0" applyNumberFormat="1" applyFont="1" applyFill="1" applyBorder="1">
      <alignment vertical="center"/>
    </xf>
    <xf numFmtId="178" fontId="1" fillId="0" borderId="2" xfId="0" applyNumberFormat="1" applyFont="1" applyFill="1" applyBorder="1" applyAlignment="1">
      <alignment vertical="center"/>
    </xf>
    <xf numFmtId="178" fontId="1" fillId="0" borderId="2" xfId="0" applyNumberFormat="1" applyFont="1" applyFill="1" applyBorder="1" applyAlignment="1">
      <alignment horizontal="center" vertical="center"/>
    </xf>
    <xf numFmtId="178" fontId="1" fillId="0" borderId="3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49" fontId="1" fillId="4" borderId="2" xfId="0" applyNumberFormat="1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49" fontId="1" fillId="4" borderId="3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vertical="center" wrapText="1"/>
    </xf>
    <xf numFmtId="177" fontId="3" fillId="4" borderId="2" xfId="0" applyNumberFormat="1" applyFont="1" applyFill="1" applyBorder="1">
      <alignment vertical="center"/>
    </xf>
    <xf numFmtId="0" fontId="3" fillId="4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 wrapText="1"/>
    </xf>
    <xf numFmtId="177" fontId="2" fillId="0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vertical="center" wrapText="1"/>
    </xf>
    <xf numFmtId="177" fontId="2" fillId="0" borderId="3" xfId="0" applyNumberFormat="1" applyFont="1" applyFill="1" applyBorder="1">
      <alignment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  <xf numFmtId="177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Border="1" applyAlignment="1">
      <alignment vertical="center" wrapText="1"/>
    </xf>
    <xf numFmtId="177" fontId="2" fillId="0" borderId="3" xfId="0" applyNumberFormat="1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vertical="center" wrapText="1"/>
    </xf>
    <xf numFmtId="177" fontId="1" fillId="4" borderId="1" xfId="0" applyNumberFormat="1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 wrapText="1"/>
    </xf>
    <xf numFmtId="177" fontId="3" fillId="0" borderId="1" xfId="0" applyNumberFormat="1" applyFont="1" applyBorder="1">
      <alignment vertical="center"/>
    </xf>
    <xf numFmtId="177" fontId="3" fillId="0" borderId="1" xfId="0" applyNumberFormat="1" applyFont="1" applyFill="1" applyBorder="1" applyAlignment="1">
      <alignment vertical="center"/>
    </xf>
    <xf numFmtId="0" fontId="1" fillId="0" borderId="0" xfId="0" applyFont="1" applyFill="1" applyAlignment="1">
      <alignment vertical="center" wrapText="1"/>
    </xf>
    <xf numFmtId="0" fontId="3" fillId="0" borderId="0" xfId="0" applyFont="1" applyFill="1">
      <alignment vertical="center"/>
    </xf>
    <xf numFmtId="0" fontId="3" fillId="0" borderId="0" xfId="0" applyFont="1" applyAlignment="1">
      <alignment vertical="center" wrapText="1"/>
    </xf>
    <xf numFmtId="178" fontId="3" fillId="4" borderId="2" xfId="0" applyNumberFormat="1" applyFont="1" applyFill="1" applyBorder="1">
      <alignment vertical="center"/>
    </xf>
    <xf numFmtId="178" fontId="2" fillId="0" borderId="2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78" fontId="2" fillId="0" borderId="3" xfId="0" applyNumberFormat="1" applyFont="1" applyFill="1" applyBorder="1">
      <alignment vertical="center"/>
    </xf>
    <xf numFmtId="178" fontId="2" fillId="0" borderId="2" xfId="0" applyNumberFormat="1" applyFont="1" applyBorder="1" applyAlignment="1">
      <alignment horizontal="center" vertical="center"/>
    </xf>
    <xf numFmtId="178" fontId="2" fillId="0" borderId="3" xfId="0" applyNumberFormat="1" applyFont="1" applyBorder="1">
      <alignment vertical="center"/>
    </xf>
    <xf numFmtId="178" fontId="1" fillId="4" borderId="1" xfId="0" applyNumberFormat="1" applyFont="1" applyFill="1" applyBorder="1">
      <alignment vertical="center"/>
    </xf>
    <xf numFmtId="178" fontId="3" fillId="0" borderId="1" xfId="0" applyNumberFormat="1" applyFont="1" applyBorder="1">
      <alignment vertical="center"/>
    </xf>
    <xf numFmtId="178" fontId="3" fillId="0" borderId="1" xfId="0" applyNumberFormat="1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49" fontId="1" fillId="3" borderId="3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49" fontId="2" fillId="5" borderId="2" xfId="0" applyNumberFormat="1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/>
    </xf>
    <xf numFmtId="49" fontId="2" fillId="5" borderId="3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19050</xdr:colOff>
      <xdr:row>7</xdr:row>
      <xdr:rowOff>38735</xdr:rowOff>
    </xdr:from>
    <xdr:to>
      <xdr:col>8</xdr:col>
      <xdr:colOff>614045</xdr:colOff>
      <xdr:row>13</xdr:row>
      <xdr:rowOff>121920</xdr:rowOff>
    </xdr:to>
    <xdr:pic>
      <xdr:nvPicPr>
        <xdr:cNvPr id="2" name="ID_CDE768C40E2D431BA763476627AEDD8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650230" y="1559560"/>
          <a:ext cx="1928495" cy="11499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19050</xdr:colOff>
      <xdr:row>7</xdr:row>
      <xdr:rowOff>38735</xdr:rowOff>
    </xdr:from>
    <xdr:to>
      <xdr:col>8</xdr:col>
      <xdr:colOff>614045</xdr:colOff>
      <xdr:row>13</xdr:row>
      <xdr:rowOff>121920</xdr:rowOff>
    </xdr:to>
    <xdr:pic>
      <xdr:nvPicPr>
        <xdr:cNvPr id="2" name="ID_CDE768C40E2D431BA763476627AEDD8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650230" y="1559560"/>
          <a:ext cx="1928495" cy="11499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7Z0006(&#26032;)-&#36130;&#2115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7Z0006"/>
    </sheetNames>
    <sheetDataSet>
      <sheetData sheetId="0">
        <row r="4">
          <cell r="B4" t="str">
            <v>==</v>
          </cell>
        </row>
        <row r="5">
          <cell r="B5" t="str">
            <v>上海润昌</v>
          </cell>
        </row>
        <row r="6">
          <cell r="B6" t="str">
            <v>17Z0006</v>
          </cell>
        </row>
        <row r="7">
          <cell r="B7" t="str">
            <v>10Z0009(17Z0006子单)童装针织夹克长袖(领圈有织带、袖口、下摆包弹力带，贴袋鼠袋(袋口角打套结)</v>
          </cell>
        </row>
        <row r="9">
          <cell r="B9">
            <v>2512</v>
          </cell>
        </row>
        <row r="10">
          <cell r="B10">
            <v>1079.7</v>
          </cell>
        </row>
        <row r="11">
          <cell r="B11">
            <v>33.3425951653237</v>
          </cell>
        </row>
        <row r="15">
          <cell r="B15">
            <v>4.4676</v>
          </cell>
        </row>
        <row r="19">
          <cell r="B19" t="str">
            <v>QLY-钱玲燕</v>
          </cell>
        </row>
        <row r="20">
          <cell r="B20" t="str">
            <v>工序名称</v>
          </cell>
          <cell r="C20" t="str">
            <v>机器类型</v>
          </cell>
          <cell r="D20" t="str">
            <v>基础时间</v>
          </cell>
          <cell r="E20" t="str">
            <v>GST时间</v>
          </cell>
          <cell r="F20" t="str">
            <v>工序等级</v>
          </cell>
          <cell r="G20" t="str">
            <v>小时目标</v>
          </cell>
          <cell r="H20" t="str">
            <v>标准单价</v>
          </cell>
        </row>
        <row r="21">
          <cell r="B21" t="str">
            <v>1-裁床</v>
          </cell>
        </row>
        <row r="22">
          <cell r="B22" t="str">
            <v>松布机面布*0.94</v>
          </cell>
          <cell r="C22" t="str">
            <v>松布机</v>
          </cell>
          <cell r="D22">
            <v>6.6</v>
          </cell>
          <cell r="E22">
            <v>7.4</v>
          </cell>
          <cell r="F22" t="str">
            <v>E1</v>
          </cell>
          <cell r="G22">
            <v>486</v>
          </cell>
          <cell r="H22">
            <v>0.0229</v>
          </cell>
        </row>
        <row r="23">
          <cell r="B23" t="str">
            <v>松布机松帽沿贴布*0.043</v>
          </cell>
          <cell r="C23" t="str">
            <v>松布机</v>
          </cell>
          <cell r="D23">
            <v>0.2</v>
          </cell>
          <cell r="E23">
            <v>0.2</v>
          </cell>
          <cell r="F23" t="str">
            <v>E2</v>
          </cell>
          <cell r="G23">
            <v>18000</v>
          </cell>
          <cell r="H23">
            <v>0.0006</v>
          </cell>
        </row>
        <row r="24">
          <cell r="B24" t="str">
            <v>手工拉面布*0.94</v>
          </cell>
          <cell r="C24" t="str">
            <v>手工</v>
          </cell>
          <cell r="D24">
            <v>23.1</v>
          </cell>
          <cell r="E24">
            <v>25.6</v>
          </cell>
          <cell r="F24" t="str">
            <v>E3</v>
          </cell>
          <cell r="G24">
            <v>141</v>
          </cell>
          <cell r="H24">
            <v>0.0845</v>
          </cell>
        </row>
        <row r="25">
          <cell r="B25" t="str">
            <v>拉布机拉帽沿贴布*0.043（含拉链保护贴）</v>
          </cell>
          <cell r="C25" t="str">
            <v>拉布机</v>
          </cell>
          <cell r="D25">
            <v>0.5</v>
          </cell>
          <cell r="E25">
            <v>0.6</v>
          </cell>
          <cell r="F25" t="str">
            <v>E3</v>
          </cell>
          <cell r="G25">
            <v>6000</v>
          </cell>
          <cell r="H25">
            <v>0.002</v>
          </cell>
        </row>
        <row r="26">
          <cell r="B26" t="str">
            <v>拉布机拉衬布*0.043</v>
          </cell>
          <cell r="C26" t="str">
            <v>拉布机</v>
          </cell>
          <cell r="D26">
            <v>0.4</v>
          </cell>
          <cell r="E26">
            <v>0.5</v>
          </cell>
          <cell r="F26" t="str">
            <v>E3</v>
          </cell>
          <cell r="G26">
            <v>7200</v>
          </cell>
          <cell r="H26">
            <v>0.0017</v>
          </cell>
        </row>
        <row r="27">
          <cell r="B27" t="str">
            <v>手工裁剪面布*10</v>
          </cell>
          <cell r="C27" t="str">
            <v>手工</v>
          </cell>
          <cell r="D27">
            <v>28.6</v>
          </cell>
          <cell r="E27">
            <v>31.6</v>
          </cell>
          <cell r="F27" t="str">
            <v>D4</v>
          </cell>
          <cell r="G27">
            <v>114</v>
          </cell>
          <cell r="H27">
            <v>0.1201</v>
          </cell>
        </row>
        <row r="28">
          <cell r="B28" t="str">
            <v>电脑裁剪帽沿贴布*2(保护贴两片算一片）</v>
          </cell>
          <cell r="C28" t="str">
            <v>电脑裁剪</v>
          </cell>
          <cell r="D28">
            <v>1</v>
          </cell>
          <cell r="E28">
            <v>1</v>
          </cell>
          <cell r="F28" t="str">
            <v>D4</v>
          </cell>
          <cell r="G28">
            <v>3600</v>
          </cell>
          <cell r="H28">
            <v>0.0038</v>
          </cell>
        </row>
        <row r="29">
          <cell r="B29" t="str">
            <v>裁剪衬布*2(保护贴衬两片算一片）</v>
          </cell>
          <cell r="C29" t="str">
            <v>电脑裁床</v>
          </cell>
          <cell r="D29">
            <v>0.5</v>
          </cell>
          <cell r="E29">
            <v>0.5</v>
          </cell>
          <cell r="F29" t="str">
            <v>D4</v>
          </cell>
          <cell r="G29">
            <v>7200</v>
          </cell>
          <cell r="H29">
            <v>0.0019</v>
          </cell>
        </row>
        <row r="30">
          <cell r="B30" t="str">
            <v>手工面布分包*10</v>
          </cell>
          <cell r="C30" t="str">
            <v>手工</v>
          </cell>
          <cell r="D30">
            <v>15.5</v>
          </cell>
          <cell r="E30">
            <v>17.2</v>
          </cell>
          <cell r="F30" t="str">
            <v>E2</v>
          </cell>
          <cell r="G30">
            <v>209</v>
          </cell>
          <cell r="H30">
            <v>0.055</v>
          </cell>
        </row>
        <row r="31">
          <cell r="B31" t="str">
            <v>帽沿贴分包*1（大包）</v>
          </cell>
          <cell r="C31" t="str">
            <v>手工</v>
          </cell>
          <cell r="D31">
            <v>0.4</v>
          </cell>
          <cell r="E31">
            <v>0.5</v>
          </cell>
          <cell r="F31" t="str">
            <v>E2</v>
          </cell>
          <cell r="G31">
            <v>7200</v>
          </cell>
          <cell r="H31">
            <v>0.0016</v>
          </cell>
        </row>
        <row r="32">
          <cell r="B32" t="str">
            <v>帽檐贴衬分大包*1（保护贴贴衬不分包）</v>
          </cell>
          <cell r="C32" t="str">
            <v>手工</v>
          </cell>
          <cell r="D32">
            <v>0.2</v>
          </cell>
          <cell r="E32">
            <v>0.2</v>
          </cell>
          <cell r="F32" t="str">
            <v>E2</v>
          </cell>
          <cell r="G32">
            <v>18000</v>
          </cell>
          <cell r="H32">
            <v>0.0006</v>
          </cell>
        </row>
        <row r="33">
          <cell r="B33" t="str">
            <v>验片/配补片*10</v>
          </cell>
          <cell r="C33" t="str">
            <v>手工</v>
          </cell>
          <cell r="D33">
            <v>22</v>
          </cell>
          <cell r="E33">
            <v>24.3</v>
          </cell>
          <cell r="F33" t="str">
            <v>E3</v>
          </cell>
          <cell r="G33">
            <v>148</v>
          </cell>
          <cell r="H33">
            <v>0.0802</v>
          </cell>
        </row>
        <row r="34">
          <cell r="B34" t="str">
            <v>中烫帽檐衬*1</v>
          </cell>
          <cell r="C34" t="str">
            <v>中烫（气烫）</v>
          </cell>
          <cell r="D34">
            <v>20.8</v>
          </cell>
          <cell r="E34">
            <v>23.4</v>
          </cell>
          <cell r="F34" t="str">
            <v>E2</v>
          </cell>
          <cell r="G34">
            <v>154</v>
          </cell>
          <cell r="H34">
            <v>0.0749</v>
          </cell>
        </row>
        <row r="35">
          <cell r="B35" t="str">
            <v>中烫拉链保护贴衬*2</v>
          </cell>
          <cell r="C35" t="str">
            <v>中烫（气烫）</v>
          </cell>
          <cell r="D35">
            <v>11.1</v>
          </cell>
          <cell r="E35">
            <v>12.5</v>
          </cell>
          <cell r="F35" t="str">
            <v>E2</v>
          </cell>
          <cell r="G35">
            <v>288</v>
          </cell>
          <cell r="H35">
            <v>0.04</v>
          </cell>
        </row>
        <row r="36">
          <cell r="B36" t="str">
            <v>2-帽子</v>
          </cell>
        </row>
        <row r="37">
          <cell r="B37" t="str">
            <v>实样折烫帽檐边止口*1（台面划位摆放）</v>
          </cell>
          <cell r="C37" t="str">
            <v>中烫（气烫）</v>
          </cell>
          <cell r="D37">
            <v>22.2</v>
          </cell>
          <cell r="E37">
            <v>25</v>
          </cell>
          <cell r="F37" t="str">
            <v>D2</v>
          </cell>
          <cell r="G37">
            <v>144</v>
          </cell>
          <cell r="H37">
            <v>0.09</v>
          </cell>
        </row>
        <row r="38">
          <cell r="B38" t="str">
            <v>四线合帽中拼缝*2</v>
          </cell>
          <cell r="C38" t="str">
            <v>电脑四线锁边车</v>
          </cell>
          <cell r="D38">
            <v>32</v>
          </cell>
          <cell r="E38">
            <v>35.9</v>
          </cell>
          <cell r="F38" t="str">
            <v>C4</v>
          </cell>
          <cell r="G38">
            <v>100</v>
          </cell>
          <cell r="H38">
            <v>0.1508</v>
          </cell>
        </row>
        <row r="39">
          <cell r="B39" t="str">
            <v>单针冚车压帽中明线*2</v>
          </cell>
          <cell r="C39" t="str">
            <v>电脑单针双线冚车</v>
          </cell>
          <cell r="D39">
            <v>24.1</v>
          </cell>
          <cell r="E39">
            <v>27.1</v>
          </cell>
          <cell r="F39" t="str">
            <v>C4</v>
          </cell>
          <cell r="G39">
            <v>133</v>
          </cell>
          <cell r="H39">
            <v>0.1138</v>
          </cell>
        </row>
        <row r="40">
          <cell r="B40" t="str">
            <v>自动模板落帽檐贴暗线*1</v>
          </cell>
          <cell r="C40" t="str">
            <v>电脑平车</v>
          </cell>
          <cell r="D40">
            <v>31.1</v>
          </cell>
          <cell r="E40">
            <v>35</v>
          </cell>
          <cell r="F40" t="str">
            <v>C1</v>
          </cell>
          <cell r="G40">
            <v>103</v>
          </cell>
          <cell r="H40">
            <v>0.1365</v>
          </cell>
        </row>
        <row r="41">
          <cell r="B41" t="str">
            <v>平车补帽檐贴暗线一段连压帽檐贴暗边线*1</v>
          </cell>
          <cell r="C41" t="str">
            <v>电脑平车</v>
          </cell>
          <cell r="D41">
            <v>24.2</v>
          </cell>
          <cell r="E41">
            <v>27.6</v>
          </cell>
          <cell r="F41" t="str">
            <v>C4</v>
          </cell>
          <cell r="G41">
            <v>130</v>
          </cell>
          <cell r="H41">
            <v>0.1159</v>
          </cell>
        </row>
        <row r="42">
          <cell r="B42" t="str">
            <v>3-前片</v>
          </cell>
        </row>
        <row r="43">
          <cell r="B43" t="str">
            <v>平车订前袋标*1（车台定位）</v>
          </cell>
          <cell r="C43" t="str">
            <v>电脑平车</v>
          </cell>
          <cell r="D43">
            <v>18.8</v>
          </cell>
          <cell r="E43">
            <v>21.3</v>
          </cell>
          <cell r="F43" t="str">
            <v>C2</v>
          </cell>
          <cell r="G43">
            <v>169</v>
          </cell>
          <cell r="H43">
            <v>0.0852</v>
          </cell>
        </row>
        <row r="44">
          <cell r="B44" t="str">
            <v>平车折订拉链头码带2*1</v>
          </cell>
          <cell r="C44" t="str">
            <v>电脑平车</v>
          </cell>
          <cell r="D44">
            <v>9.1</v>
          </cell>
          <cell r="E44">
            <v>10.1</v>
          </cell>
          <cell r="F44" t="str">
            <v>D4</v>
          </cell>
          <cell r="G44">
            <v>356</v>
          </cell>
          <cell r="H44">
            <v>0.0384</v>
          </cell>
        </row>
        <row r="45">
          <cell r="B45" t="str">
            <v>手工模板落前中拉链护贴连反折固定2*1</v>
          </cell>
          <cell r="C45" t="str">
            <v>电脑平车</v>
          </cell>
          <cell r="D45">
            <v>34.9</v>
          </cell>
          <cell r="E45">
            <v>38.7</v>
          </cell>
          <cell r="F45" t="str">
            <v>C1</v>
          </cell>
          <cell r="G45">
            <v>93</v>
          </cell>
          <cell r="H45">
            <v>0.1509</v>
          </cell>
        </row>
        <row r="46">
          <cell r="B46" t="str">
            <v>冚车冚前袋口明线*2</v>
          </cell>
          <cell r="C46" t="str">
            <v>电脑双针三线冚车</v>
          </cell>
          <cell r="D46">
            <v>17.6</v>
          </cell>
          <cell r="E46">
            <v>19.7</v>
          </cell>
          <cell r="F46" t="str">
            <v>C1</v>
          </cell>
          <cell r="G46">
            <v>183</v>
          </cell>
          <cell r="H46">
            <v>0.0768</v>
          </cell>
        </row>
        <row r="47">
          <cell r="B47" t="str">
            <v>实样包布烫前袋三边止口*2</v>
          </cell>
          <cell r="C47" t="str">
            <v>中烫（气烫）</v>
          </cell>
          <cell r="D47">
            <v>29.1</v>
          </cell>
          <cell r="E47">
            <v>32.7</v>
          </cell>
          <cell r="F47" t="str">
            <v>D3</v>
          </cell>
          <cell r="G47">
            <v>110</v>
          </cell>
          <cell r="H47">
            <v>0.121</v>
          </cell>
        </row>
        <row r="48">
          <cell r="B48" t="str">
            <v>实样扫粉前袋口位*2</v>
          </cell>
          <cell r="C48" t="str">
            <v>手工</v>
          </cell>
          <cell r="D48">
            <v>18.6</v>
          </cell>
          <cell r="E48">
            <v>22</v>
          </cell>
          <cell r="F48" t="str">
            <v>E3</v>
          </cell>
          <cell r="G48">
            <v>164</v>
          </cell>
          <cell r="H48">
            <v>0.0726</v>
          </cell>
        </row>
        <row r="49">
          <cell r="B49" t="str">
            <v>平车贴前袋三边明线连一边散口*2</v>
          </cell>
          <cell r="C49" t="str">
            <v>电脑平车</v>
          </cell>
          <cell r="D49">
            <v>70.7</v>
          </cell>
          <cell r="E49">
            <v>79.5</v>
          </cell>
          <cell r="F49" t="str">
            <v>B1</v>
          </cell>
          <cell r="G49">
            <v>45</v>
          </cell>
          <cell r="H49">
            <v>0.3419</v>
          </cell>
        </row>
        <row r="50">
          <cell r="B50" t="str">
            <v>刀车修直袋布前中边纹路*2（裁片操作)</v>
          </cell>
          <cell r="C50" t="str">
            <v>无针切刀车</v>
          </cell>
          <cell r="D50">
            <v>12.3</v>
          </cell>
          <cell r="E50">
            <v>15.1</v>
          </cell>
          <cell r="F50" t="str">
            <v>D1</v>
          </cell>
          <cell r="G50">
            <v>238</v>
          </cell>
          <cell r="H50">
            <v>0.0529</v>
          </cell>
        </row>
        <row r="51">
          <cell r="B51" t="str">
            <v>带线刀车修直前中纹路*2（裁片操作）</v>
          </cell>
          <cell r="C51" t="str">
            <v>电脑单针切刀车</v>
          </cell>
          <cell r="D51">
            <v>23.4</v>
          </cell>
          <cell r="E51">
            <v>26.9</v>
          </cell>
          <cell r="F51" t="str">
            <v>D1</v>
          </cell>
          <cell r="G51">
            <v>134</v>
          </cell>
          <cell r="H51">
            <v>0.0942</v>
          </cell>
        </row>
        <row r="52">
          <cell r="B52" t="str">
            <v>4-组合</v>
          </cell>
        </row>
        <row r="53">
          <cell r="B53" t="str">
            <v>挂片/配补片</v>
          </cell>
          <cell r="C53" t="str">
            <v>手工</v>
          </cell>
          <cell r="D53">
            <v>27.9</v>
          </cell>
          <cell r="E53">
            <v>30.8</v>
          </cell>
          <cell r="F53" t="str">
            <v>E3</v>
          </cell>
          <cell r="G53">
            <v>117</v>
          </cell>
          <cell r="H53">
            <v>0.1016</v>
          </cell>
        </row>
        <row r="54">
          <cell r="B54" t="str">
            <v>蒸箱蒸弹力线（个）</v>
          </cell>
          <cell r="C54" t="str">
            <v>蒸箱</v>
          </cell>
          <cell r="D54">
            <v>6</v>
          </cell>
          <cell r="E54">
            <v>6</v>
          </cell>
          <cell r="F54" t="str">
            <v>E1</v>
          </cell>
          <cell r="G54">
            <v>600</v>
          </cell>
          <cell r="H54">
            <v>0.0186</v>
          </cell>
        </row>
        <row r="55">
          <cell r="B55" t="str">
            <v>领织带、弹力带缩水连回/米</v>
          </cell>
          <cell r="C55" t="str">
            <v>手工</v>
          </cell>
          <cell r="D55">
            <v>4</v>
          </cell>
          <cell r="E55">
            <v>4.4</v>
          </cell>
          <cell r="F55" t="str">
            <v>E1</v>
          </cell>
          <cell r="G55">
            <v>818</v>
          </cell>
          <cell r="H55">
            <v>0.0136</v>
          </cell>
        </row>
        <row r="56">
          <cell r="B56" t="str">
            <v>热切机量剪后领挂耳织带*1</v>
          </cell>
          <cell r="C56" t="str">
            <v>手工</v>
          </cell>
          <cell r="D56">
            <v>1.8</v>
          </cell>
          <cell r="E56">
            <v>2</v>
          </cell>
          <cell r="F56" t="str">
            <v>E1</v>
          </cell>
          <cell r="G56">
            <v>1800</v>
          </cell>
          <cell r="H56">
            <v>0.0062</v>
          </cell>
        </row>
        <row r="57">
          <cell r="B57" t="str">
            <v>热切机量剪拉链拉手织带*1</v>
          </cell>
          <cell r="C57" t="str">
            <v>手工</v>
          </cell>
          <cell r="D57">
            <v>1.8</v>
          </cell>
          <cell r="E57">
            <v>2</v>
          </cell>
          <cell r="F57" t="str">
            <v>E1</v>
          </cell>
          <cell r="G57">
            <v>1800</v>
          </cell>
          <cell r="H57">
            <v>0.0062</v>
          </cell>
        </row>
        <row r="58">
          <cell r="B58" t="str">
            <v>平车订洗标、追终标于左后侧*1（车台定位）</v>
          </cell>
          <cell r="C58" t="str">
            <v>电脑平车</v>
          </cell>
          <cell r="D58">
            <v>9.1</v>
          </cell>
          <cell r="E58">
            <v>11.6</v>
          </cell>
          <cell r="F58" t="str">
            <v>D4</v>
          </cell>
          <cell r="G58">
            <v>310</v>
          </cell>
          <cell r="H58">
            <v>0.0441</v>
          </cell>
        </row>
        <row r="59">
          <cell r="B59" t="str">
            <v>#四线合肩缝连落透明肩带*2</v>
          </cell>
          <cell r="C59" t="str">
            <v>电脑四线锁边车</v>
          </cell>
          <cell r="D59">
            <v>19.9</v>
          </cell>
          <cell r="E59">
            <v>22.2</v>
          </cell>
          <cell r="F59" t="str">
            <v>C2</v>
          </cell>
          <cell r="G59">
            <v>162</v>
          </cell>
          <cell r="H59">
            <v>0.0888</v>
          </cell>
        </row>
        <row r="60">
          <cell r="B60" t="str">
            <v>四线对位上开袖*2</v>
          </cell>
          <cell r="C60" t="str">
            <v>电脑四线锁边车</v>
          </cell>
          <cell r="D60">
            <v>33</v>
          </cell>
          <cell r="E60">
            <v>37</v>
          </cell>
          <cell r="F60" t="str">
            <v>C4</v>
          </cell>
          <cell r="G60">
            <v>97</v>
          </cell>
          <cell r="H60">
            <v>0.1554</v>
          </cell>
        </row>
        <row r="61">
          <cell r="B61" t="str">
            <v>单针冚车拉袖口弹力包边带连剪断*2</v>
          </cell>
          <cell r="C61" t="str">
            <v>电脑单针双线冚车</v>
          </cell>
          <cell r="D61">
            <v>16.8</v>
          </cell>
          <cell r="E61">
            <v>18.8</v>
          </cell>
          <cell r="F61" t="str">
            <v>C2</v>
          </cell>
          <cell r="G61">
            <v>191</v>
          </cell>
          <cell r="H61">
            <v>0.0752</v>
          </cell>
        </row>
        <row r="62">
          <cell r="B62" t="str">
            <v>平车合袖口捆条一段*2</v>
          </cell>
          <cell r="C62" t="str">
            <v>电脑平车</v>
          </cell>
          <cell r="D62">
            <v>13.8</v>
          </cell>
          <cell r="E62">
            <v>15.4</v>
          </cell>
          <cell r="F62" t="str">
            <v>C2</v>
          </cell>
          <cell r="G62">
            <v>234</v>
          </cell>
          <cell r="H62">
            <v>0.0616</v>
          </cell>
        </row>
        <row r="63">
          <cell r="B63" t="str">
            <v>四线对位合侧缝连袖底缝*2（袖口已固定）</v>
          </cell>
          <cell r="C63" t="str">
            <v>电脑四线锁边车</v>
          </cell>
          <cell r="D63">
            <v>35.5</v>
          </cell>
          <cell r="E63">
            <v>39.9</v>
          </cell>
          <cell r="F63" t="str">
            <v>C4</v>
          </cell>
          <cell r="G63">
            <v>90</v>
          </cell>
          <cell r="H63">
            <v>0.1676</v>
          </cell>
        </row>
        <row r="64">
          <cell r="B64" t="str">
            <v>平车折叠锁边线折订袖底骨位*2</v>
          </cell>
          <cell r="C64" t="str">
            <v>电脑平车</v>
          </cell>
          <cell r="D64">
            <v>15.5</v>
          </cell>
          <cell r="E64">
            <v>17.1</v>
          </cell>
          <cell r="F64" t="str">
            <v>D4</v>
          </cell>
          <cell r="G64">
            <v>211</v>
          </cell>
          <cell r="H64">
            <v>0.065</v>
          </cell>
        </row>
        <row r="65">
          <cell r="B65" t="str">
            <v>手工点帽三刀眼位*1（台面定位）</v>
          </cell>
          <cell r="C65" t="str">
            <v>手工</v>
          </cell>
          <cell r="D65">
            <v>4.5</v>
          </cell>
          <cell r="E65">
            <v>5</v>
          </cell>
          <cell r="F65" t="str">
            <v>E1</v>
          </cell>
          <cell r="G65">
            <v>720</v>
          </cell>
          <cell r="H65">
            <v>0.0155</v>
          </cell>
        </row>
        <row r="66">
          <cell r="B66" t="str">
            <v>四线对位上帽*1</v>
          </cell>
          <cell r="C66" t="str">
            <v>电脑四线锁边车</v>
          </cell>
          <cell r="D66">
            <v>25.2</v>
          </cell>
          <cell r="E66">
            <v>28</v>
          </cell>
          <cell r="F66" t="str">
            <v>B1</v>
          </cell>
          <cell r="G66">
            <v>129</v>
          </cell>
          <cell r="H66">
            <v>0.1204</v>
          </cell>
        </row>
        <row r="67">
          <cell r="B67" t="str">
            <v>====</v>
          </cell>
          <cell r="C67" t="str">
            <v>手工</v>
          </cell>
          <cell r="D67">
            <v>0</v>
          </cell>
          <cell r="E67">
            <v>0</v>
          </cell>
          <cell r="F67" t="str">
            <v>E1</v>
          </cell>
          <cell r="G67">
            <v>0</v>
          </cell>
          <cell r="H67">
            <v>0</v>
          </cell>
        </row>
        <row r="68">
          <cell r="B68" t="str">
            <v>============</v>
          </cell>
          <cell r="C68" t="str">
            <v>手工</v>
          </cell>
          <cell r="D68">
            <v>0</v>
          </cell>
          <cell r="E68">
            <v>0</v>
          </cell>
          <cell r="F68" t="str">
            <v>E1</v>
          </cell>
          <cell r="G68">
            <v>0</v>
          </cell>
          <cell r="H68">
            <v>0</v>
          </cell>
        </row>
        <row r="69">
          <cell r="B69" t="str">
            <v>平车带筒拉帽咀、领缝弹力织带连剪段*1（比帽咀宽窄）</v>
          </cell>
          <cell r="C69" t="str">
            <v>电脑平车</v>
          </cell>
          <cell r="D69">
            <v>43.6</v>
          </cell>
          <cell r="E69">
            <v>53.7</v>
          </cell>
          <cell r="F69" t="str">
            <v>B1</v>
          </cell>
          <cell r="G69">
            <v>67</v>
          </cell>
          <cell r="H69">
            <v>0.2308</v>
          </cell>
        </row>
        <row r="70">
          <cell r="B70" t="str">
            <v>单针冚车拉筒倒骨拉下摆弹力包边带连剪断*1（两端修平）</v>
          </cell>
          <cell r="C70" t="str">
            <v>电脑单针双线冚车</v>
          </cell>
          <cell r="D70">
            <v>25.1</v>
          </cell>
          <cell r="E70">
            <v>28.3</v>
          </cell>
          <cell r="F70" t="str">
            <v>C2</v>
          </cell>
          <cell r="G70">
            <v>127</v>
          </cell>
          <cell r="H70">
            <v>0.1132</v>
          </cell>
        </row>
        <row r="71">
          <cell r="B71" t="str">
            <v>拆下摆捆条两头一段*2（约2-3CM)</v>
          </cell>
          <cell r="C71" t="str">
            <v>手工</v>
          </cell>
          <cell r="D71">
            <v>15.3</v>
          </cell>
          <cell r="E71">
            <v>16.9</v>
          </cell>
          <cell r="F71" t="str">
            <v>E1</v>
          </cell>
          <cell r="G71">
            <v>213</v>
          </cell>
          <cell r="H71">
            <v>0.0524</v>
          </cell>
        </row>
        <row r="72">
          <cell r="B72" t="str">
            <v>平车单层落下摆咀包边带2*1（约1-1.5CM）</v>
          </cell>
          <cell r="C72" t="str">
            <v>电脑平车</v>
          </cell>
          <cell r="D72">
            <v>14.9</v>
          </cell>
          <cell r="E72">
            <v>16.5</v>
          </cell>
          <cell r="F72" t="str">
            <v>C4</v>
          </cell>
          <cell r="G72">
            <v>218</v>
          </cell>
          <cell r="H72">
            <v>0.0693</v>
          </cell>
        </row>
        <row r="73">
          <cell r="B73" t="str">
            <v>平车对位上前中拉链2*1（吃势大）</v>
          </cell>
          <cell r="C73" t="str">
            <v>电脑平车</v>
          </cell>
          <cell r="D73">
            <v>63.4</v>
          </cell>
          <cell r="E73">
            <v>74.8</v>
          </cell>
          <cell r="F73" t="str">
            <v>A1</v>
          </cell>
          <cell r="G73">
            <v>48</v>
          </cell>
          <cell r="H73">
            <v>0.3514</v>
          </cell>
        </row>
        <row r="74">
          <cell r="B74" t="str">
            <v>平车运翻下摆咀织带连压织带明线2*1（修止口）</v>
          </cell>
          <cell r="C74" t="str">
            <v>电脑平车</v>
          </cell>
          <cell r="D74">
            <v>33.1</v>
          </cell>
          <cell r="E74">
            <v>36.7</v>
          </cell>
          <cell r="F74" t="str">
            <v>B1</v>
          </cell>
          <cell r="G74">
            <v>98</v>
          </cell>
          <cell r="H74">
            <v>0.1578</v>
          </cell>
        </row>
        <row r="75">
          <cell r="B75" t="str">
            <v>平车运返帽咀暗线*2（修止口）</v>
          </cell>
          <cell r="C75" t="str">
            <v>电脑平车</v>
          </cell>
          <cell r="D75">
            <v>33.9</v>
          </cell>
          <cell r="E75">
            <v>37.7</v>
          </cell>
          <cell r="F75" t="str">
            <v>B1</v>
          </cell>
          <cell r="G75">
            <v>95</v>
          </cell>
          <cell r="H75">
            <v>0.1621</v>
          </cell>
        </row>
        <row r="76">
          <cell r="B76" t="str">
            <v>=================</v>
          </cell>
          <cell r="C76" t="str">
            <v>电脑平车</v>
          </cell>
          <cell r="D76">
            <v>0</v>
          </cell>
          <cell r="E76">
            <v>0</v>
          </cell>
          <cell r="F76" t="str">
            <v>B2</v>
          </cell>
          <cell r="G76">
            <v>0</v>
          </cell>
          <cell r="H76">
            <v>0</v>
          </cell>
        </row>
        <row r="77">
          <cell r="B77" t="str">
            <v>平车封帽咀两边织带连压领织带明线*1</v>
          </cell>
          <cell r="C77" t="str">
            <v>电脑平车</v>
          </cell>
          <cell r="D77">
            <v>55.8</v>
          </cell>
          <cell r="E77">
            <v>69.1</v>
          </cell>
          <cell r="F77" t="str">
            <v>B4</v>
          </cell>
          <cell r="G77">
            <v>52</v>
          </cell>
          <cell r="H77">
            <v>0.3178</v>
          </cell>
        </row>
        <row r="78">
          <cell r="B78" t="str">
            <v>平车订后领主标、织带挂耳*1</v>
          </cell>
          <cell r="C78" t="str">
            <v>电脑平车</v>
          </cell>
          <cell r="D78">
            <v>14.1</v>
          </cell>
          <cell r="E78">
            <v>15.8</v>
          </cell>
          <cell r="F78" t="str">
            <v>D4</v>
          </cell>
          <cell r="G78">
            <v>228</v>
          </cell>
          <cell r="H78">
            <v>0.06</v>
          </cell>
        </row>
        <row r="79">
          <cell r="B79" t="str">
            <v>平车压前中拉链明线2*1</v>
          </cell>
          <cell r="C79" t="str">
            <v>电脑平车</v>
          </cell>
          <cell r="D79">
            <v>41.1</v>
          </cell>
          <cell r="E79">
            <v>46.6</v>
          </cell>
          <cell r="F79" t="str">
            <v>B1</v>
          </cell>
          <cell r="G79">
            <v>77</v>
          </cell>
          <cell r="H79">
            <v>0.2004</v>
          </cell>
        </row>
        <row r="80">
          <cell r="B80" t="str">
            <v>平车压帽沿贴宽明线*1（车台定位）</v>
          </cell>
          <cell r="C80" t="str">
            <v>电脑平车</v>
          </cell>
          <cell r="D80">
            <v>36.4</v>
          </cell>
          <cell r="E80">
            <v>45.1</v>
          </cell>
          <cell r="F80" t="str">
            <v>B3</v>
          </cell>
          <cell r="G80">
            <v>80</v>
          </cell>
          <cell r="H80">
            <v>0.203</v>
          </cell>
        </row>
        <row r="81">
          <cell r="B81" t="str">
            <v>平车穿订拉链织带连反折固定*1（单独拉链操作）</v>
          </cell>
          <cell r="C81" t="str">
            <v>电脑平车</v>
          </cell>
          <cell r="D81">
            <v>16.7</v>
          </cell>
          <cell r="E81">
            <v>18.5</v>
          </cell>
          <cell r="F81" t="str">
            <v>D4</v>
          </cell>
          <cell r="G81">
            <v>195</v>
          </cell>
          <cell r="H81">
            <v>0.0703</v>
          </cell>
        </row>
        <row r="82">
          <cell r="B82" t="str">
            <v>检验</v>
          </cell>
          <cell r="C82" t="str">
            <v>组检成品</v>
          </cell>
          <cell r="D82">
            <v>32.4</v>
          </cell>
          <cell r="E82">
            <v>35.8</v>
          </cell>
          <cell r="F82" t="str">
            <v>E4</v>
          </cell>
          <cell r="G82">
            <v>101</v>
          </cell>
          <cell r="H82">
            <v>0.1217</v>
          </cell>
        </row>
        <row r="83">
          <cell r="B83" t="str">
            <v>5-专机</v>
          </cell>
        </row>
        <row r="84">
          <cell r="B84" t="str">
            <v>打枣机打前袋口枣*4</v>
          </cell>
          <cell r="C84" t="str">
            <v>电脑打枣车</v>
          </cell>
          <cell r="D84">
            <v>19.2</v>
          </cell>
          <cell r="E84">
            <v>21.2</v>
          </cell>
          <cell r="F84" t="str">
            <v>E4</v>
          </cell>
          <cell r="G84">
            <v>170</v>
          </cell>
          <cell r="H84">
            <v>0.0721</v>
          </cell>
        </row>
        <row r="85">
          <cell r="B85" t="str">
            <v>打枣机打拉链拉手枣*1</v>
          </cell>
          <cell r="C85" t="str">
            <v>电脑打枣车</v>
          </cell>
          <cell r="D85">
            <v>6.7</v>
          </cell>
          <cell r="E85">
            <v>7.4</v>
          </cell>
          <cell r="F85" t="str">
            <v>E4</v>
          </cell>
          <cell r="G85">
            <v>486</v>
          </cell>
          <cell r="H85">
            <v>0.0252</v>
          </cell>
        </row>
        <row r="86">
          <cell r="B86" t="str">
            <v>6-尾部</v>
          </cell>
        </row>
        <row r="87">
          <cell r="B87" t="str">
            <v>大烫（整件熏烫）</v>
          </cell>
          <cell r="C87" t="str">
            <v>整烫（尾部）</v>
          </cell>
          <cell r="D87">
            <v>33.1</v>
          </cell>
          <cell r="E87">
            <v>37.2</v>
          </cell>
          <cell r="F87" t="str">
            <v>B1</v>
          </cell>
          <cell r="G87">
            <v>97</v>
          </cell>
          <cell r="H87">
            <v>0.16</v>
          </cell>
        </row>
        <row r="88">
          <cell r="B88" t="str">
            <v>检验/剪线毛</v>
          </cell>
          <cell r="C88" t="str">
            <v>手工</v>
          </cell>
          <cell r="D88">
            <v>42.7</v>
          </cell>
          <cell r="E88">
            <v>47.1</v>
          </cell>
          <cell r="F88" t="str">
            <v>E4</v>
          </cell>
          <cell r="G88">
            <v>76</v>
          </cell>
          <cell r="H88">
            <v>0.1601</v>
          </cell>
        </row>
        <row r="89">
          <cell r="B89" t="str">
            <v>手工吸线毛*1(正反面）翻衣服两次</v>
          </cell>
          <cell r="C89" t="str">
            <v>手工</v>
          </cell>
          <cell r="D89">
            <v>33.1</v>
          </cell>
          <cell r="E89">
            <v>36.6</v>
          </cell>
          <cell r="F89" t="str">
            <v>E1</v>
          </cell>
          <cell r="G89">
            <v>98</v>
          </cell>
          <cell r="H89">
            <v>0.1135</v>
          </cell>
        </row>
        <row r="90">
          <cell r="B90" t="str">
            <v>手工穿吊牌于挂绳*1（打结）</v>
          </cell>
          <cell r="C90" t="str">
            <v>手工</v>
          </cell>
          <cell r="D90">
            <v>11.7</v>
          </cell>
          <cell r="E90">
            <v>12.9</v>
          </cell>
          <cell r="F90" t="str">
            <v>E1</v>
          </cell>
          <cell r="G90">
            <v>279</v>
          </cell>
          <cell r="H90">
            <v>0.04</v>
          </cell>
        </row>
        <row r="91">
          <cell r="B91" t="str">
            <v>分色/分码</v>
          </cell>
          <cell r="C91" t="str">
            <v>手工</v>
          </cell>
          <cell r="D91">
            <v>3.7</v>
          </cell>
          <cell r="E91">
            <v>4.1</v>
          </cell>
          <cell r="F91" t="str">
            <v>E1</v>
          </cell>
          <cell r="G91">
            <v>878</v>
          </cell>
          <cell r="H91">
            <v>0.0127</v>
          </cell>
        </row>
        <row r="92">
          <cell r="B92" t="str">
            <v>查码</v>
          </cell>
          <cell r="C92" t="str">
            <v>手工</v>
          </cell>
          <cell r="D92">
            <v>3.6</v>
          </cell>
          <cell r="E92">
            <v>4</v>
          </cell>
          <cell r="F92" t="str">
            <v>E1</v>
          </cell>
          <cell r="G92">
            <v>900</v>
          </cell>
          <cell r="H92">
            <v>0.0124</v>
          </cell>
        </row>
        <row r="93">
          <cell r="B93" t="str">
            <v>包装搬运</v>
          </cell>
          <cell r="C93" t="str">
            <v>手工</v>
          </cell>
          <cell r="D93">
            <v>2.9</v>
          </cell>
          <cell r="E93">
            <v>3.2</v>
          </cell>
          <cell r="F93" t="str">
            <v>E1</v>
          </cell>
          <cell r="G93">
            <v>1125</v>
          </cell>
          <cell r="H93">
            <v>0.0099</v>
          </cell>
        </row>
        <row r="94">
          <cell r="B94" t="str">
            <v>手工清正面浮毛*1</v>
          </cell>
          <cell r="C94" t="str">
            <v>手工</v>
          </cell>
          <cell r="D94">
            <v>43.2</v>
          </cell>
          <cell r="E94">
            <v>47.7</v>
          </cell>
          <cell r="F94" t="str">
            <v>E1</v>
          </cell>
          <cell r="G94">
            <v>75</v>
          </cell>
          <cell r="H94">
            <v>0.1479</v>
          </cell>
        </row>
        <row r="95">
          <cell r="B95" t="str">
            <v>手工单件折叠*1</v>
          </cell>
          <cell r="C95" t="str">
            <v>手工</v>
          </cell>
          <cell r="D95">
            <v>20</v>
          </cell>
          <cell r="E95">
            <v>22.2</v>
          </cell>
          <cell r="F95" t="str">
            <v>E1</v>
          </cell>
          <cell r="G95">
            <v>162</v>
          </cell>
          <cell r="H95">
            <v>0.0688</v>
          </cell>
        </row>
        <row r="96">
          <cell r="B96" t="str">
            <v>单件装袋*1（放干燥剂）（网单640件)</v>
          </cell>
          <cell r="C96" t="str">
            <v>手工</v>
          </cell>
          <cell r="D96">
            <v>13.1</v>
          </cell>
          <cell r="E96">
            <v>14.5</v>
          </cell>
          <cell r="F96" t="str">
            <v>E1</v>
          </cell>
          <cell r="G96">
            <v>248</v>
          </cell>
          <cell r="H96">
            <v>0.045</v>
          </cell>
        </row>
        <row r="97">
          <cell r="B97" t="str">
            <v>贴胶袋贴纸*1（网单640件)</v>
          </cell>
          <cell r="C97" t="str">
            <v>手工</v>
          </cell>
          <cell r="D97">
            <v>5.9</v>
          </cell>
          <cell r="E97">
            <v>6.5</v>
          </cell>
          <cell r="F97" t="str">
            <v>E1</v>
          </cell>
          <cell r="G97">
            <v>554</v>
          </cell>
          <cell r="H97">
            <v>0.0202</v>
          </cell>
        </row>
        <row r="98">
          <cell r="B98" t="str">
            <v>贴条形尺码条*1</v>
          </cell>
          <cell r="C98" t="str">
            <v>手工</v>
          </cell>
          <cell r="D98">
            <v>5.9</v>
          </cell>
          <cell r="E98">
            <v>6.5</v>
          </cell>
          <cell r="F98" t="str">
            <v>E1</v>
          </cell>
          <cell r="G98">
            <v>554</v>
          </cell>
          <cell r="H98">
            <v>0.0202</v>
          </cell>
        </row>
        <row r="99">
          <cell r="B99" t="str">
            <v>验针机验针</v>
          </cell>
          <cell r="C99" t="str">
            <v>手工</v>
          </cell>
          <cell r="D99">
            <v>3.8</v>
          </cell>
          <cell r="E99">
            <v>4.2</v>
          </cell>
          <cell r="F99" t="str">
            <v>E1</v>
          </cell>
          <cell r="G99">
            <v>857</v>
          </cell>
          <cell r="H99">
            <v>0.013</v>
          </cell>
        </row>
        <row r="100">
          <cell r="B100" t="str">
            <v>混色混码配比*1</v>
          </cell>
          <cell r="C100" t="str">
            <v>手工</v>
          </cell>
          <cell r="D100">
            <v>3.8</v>
          </cell>
          <cell r="E100">
            <v>4.2</v>
          </cell>
          <cell r="F100" t="str">
            <v>E1</v>
          </cell>
          <cell r="G100">
            <v>857</v>
          </cell>
          <cell r="H100">
            <v>0.013</v>
          </cell>
        </row>
        <row r="101">
          <cell r="B101" t="str">
            <v>装箱32-36件一箱(写箱号  贴箱贴 放干燥剂 封箱 装箱 放天地板 封箱 称箱 放箱)</v>
          </cell>
          <cell r="C101" t="str">
            <v>手工</v>
          </cell>
          <cell r="D101">
            <v>9.4</v>
          </cell>
          <cell r="E101">
            <v>10.3</v>
          </cell>
          <cell r="F101" t="str">
            <v>E1</v>
          </cell>
          <cell r="G101">
            <v>350</v>
          </cell>
          <cell r="H101">
            <v>0.0319</v>
          </cell>
        </row>
        <row r="102">
          <cell r="B102" t="str">
            <v>拉箱入库</v>
          </cell>
          <cell r="C102" t="str">
            <v>手工</v>
          </cell>
          <cell r="D102">
            <v>0.9</v>
          </cell>
          <cell r="E102">
            <v>1</v>
          </cell>
          <cell r="F102" t="str">
            <v>E1</v>
          </cell>
          <cell r="G102">
            <v>3600</v>
          </cell>
          <cell r="H102">
            <v>0.0031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N114"/>
  <sheetViews>
    <sheetView tabSelected="1" zoomScale="130" zoomScaleNormal="130" topLeftCell="A91" workbookViewId="0">
      <selection activeCell="J113" sqref="J113"/>
    </sheetView>
  </sheetViews>
  <sheetFormatPr defaultColWidth="9" defaultRowHeight="12"/>
  <cols>
    <col min="1" max="1" width="10.625" style="1" customWidth="1"/>
    <col min="2" max="2" width="17.4" style="1" customWidth="1"/>
    <col min="3" max="3" width="6.875" style="4" customWidth="1"/>
    <col min="4" max="4" width="19.875" style="5" customWidth="1"/>
    <col min="5" max="5" width="10.75" style="4" customWidth="1"/>
    <col min="6" max="6" width="8.375" style="4" customWidth="1"/>
    <col min="7" max="7" width="9" style="4" customWidth="1"/>
    <col min="8" max="8" width="8.5" style="4" customWidth="1"/>
    <col min="9" max="9" width="8.36666666666667" style="4" customWidth="1"/>
    <col min="10" max="10" width="21.5" style="4" customWidth="1"/>
    <col min="11" max="91" width="9" style="4"/>
    <col min="92" max="92" width="59.625" style="4" customWidth="1"/>
    <col min="93" max="16384" width="9" style="4"/>
  </cols>
  <sheetData>
    <row r="1" ht="25.5" spans="1:9">
      <c r="A1" s="6" t="s">
        <v>0</v>
      </c>
      <c r="B1" s="6"/>
      <c r="C1" s="7"/>
      <c r="D1" s="8"/>
      <c r="E1" s="7"/>
      <c r="F1" s="7"/>
      <c r="G1" s="7"/>
      <c r="H1" s="7"/>
      <c r="I1" s="7"/>
    </row>
    <row r="2" ht="20.25" spans="1:9">
      <c r="A2" s="9" t="s">
        <v>1</v>
      </c>
      <c r="B2" s="9"/>
      <c r="C2" s="10"/>
      <c r="D2" s="11"/>
      <c r="E2" s="10"/>
      <c r="F2" s="10"/>
      <c r="G2" s="10"/>
      <c r="H2" s="10"/>
      <c r="I2" s="10"/>
    </row>
    <row r="3" spans="1:9">
      <c r="A3" s="12" t="s">
        <v>2</v>
      </c>
      <c r="B3" s="12"/>
      <c r="C3" s="13"/>
      <c r="D3" s="14"/>
      <c r="E3" s="13"/>
      <c r="F3" s="13"/>
      <c r="G3" s="13"/>
      <c r="H3" s="13"/>
      <c r="I3" s="13"/>
    </row>
    <row r="4" spans="1:9">
      <c r="A4" s="15" t="s">
        <v>3</v>
      </c>
      <c r="B4" s="16" t="s">
        <v>4</v>
      </c>
      <c r="C4" s="17"/>
      <c r="D4" s="18"/>
      <c r="E4" s="17"/>
      <c r="F4" s="17"/>
      <c r="G4" s="19"/>
      <c r="H4" s="19"/>
      <c r="I4" s="19"/>
    </row>
    <row r="5" spans="1:9">
      <c r="A5" s="15" t="s">
        <v>5</v>
      </c>
      <c r="B5" s="12" t="s">
        <v>6</v>
      </c>
      <c r="C5" s="13"/>
      <c r="D5" s="14"/>
      <c r="E5" s="13"/>
      <c r="F5" s="13"/>
      <c r="G5" s="19"/>
      <c r="H5" s="19"/>
      <c r="I5" s="19"/>
    </row>
    <row r="6" spans="1:9">
      <c r="A6" s="15" t="s">
        <v>7</v>
      </c>
      <c r="B6" s="16" t="s">
        <v>8</v>
      </c>
      <c r="C6" s="17"/>
      <c r="D6" s="18"/>
      <c r="E6" s="17"/>
      <c r="F6" s="17"/>
      <c r="G6" s="19"/>
      <c r="H6" s="19"/>
      <c r="I6" s="19"/>
    </row>
    <row r="7" ht="26" customHeight="1" spans="1:92">
      <c r="A7" s="15" t="s">
        <v>9</v>
      </c>
      <c r="B7" s="20" t="s">
        <v>10</v>
      </c>
      <c r="C7" s="14"/>
      <c r="D7" s="14"/>
      <c r="E7" s="14"/>
      <c r="F7" s="14"/>
      <c r="G7" s="19"/>
      <c r="H7" s="19"/>
      <c r="I7" s="19"/>
      <c r="CN7" s="5"/>
    </row>
    <row r="8" spans="1:92">
      <c r="A8" s="15" t="s">
        <v>11</v>
      </c>
      <c r="B8" s="20"/>
      <c r="C8" s="14"/>
      <c r="D8" s="14"/>
      <c r="E8" s="14"/>
      <c r="F8" s="14"/>
      <c r="G8" s="19"/>
      <c r="H8" s="19"/>
      <c r="I8" s="19"/>
      <c r="CN8" s="5"/>
    </row>
    <row r="9" spans="1:9">
      <c r="A9" s="15" t="s">
        <v>12</v>
      </c>
      <c r="B9" s="12">
        <v>2512</v>
      </c>
      <c r="C9" s="13"/>
      <c r="D9" s="14"/>
      <c r="E9" s="13"/>
      <c r="F9" s="13"/>
      <c r="G9" s="19"/>
      <c r="H9" s="19"/>
      <c r="I9" s="19"/>
    </row>
    <row r="10" spans="1:9">
      <c r="A10" s="21" t="s">
        <v>13</v>
      </c>
      <c r="B10" s="12">
        <f>SUM(G38:G42,G44:G52,G55:G82,)</f>
        <v>1085.7</v>
      </c>
      <c r="C10" s="13"/>
      <c r="D10" s="14"/>
      <c r="E10" s="13"/>
      <c r="F10" s="13"/>
      <c r="G10" s="19"/>
      <c r="H10" s="19"/>
      <c r="I10" s="19"/>
    </row>
    <row r="11" ht="24" spans="1:9">
      <c r="A11" s="21" t="s">
        <v>14</v>
      </c>
      <c r="B11" s="22">
        <f>(10.5*60*60)/B10</f>
        <v>34.816247582205</v>
      </c>
      <c r="C11" s="23"/>
      <c r="D11" s="24"/>
      <c r="E11" s="23"/>
      <c r="F11" s="23"/>
      <c r="G11" s="19"/>
      <c r="H11" s="19"/>
      <c r="I11" s="19"/>
    </row>
    <row r="12" spans="1:9">
      <c r="A12" s="15" t="s">
        <v>15</v>
      </c>
      <c r="B12" s="12"/>
      <c r="C12" s="13"/>
      <c r="D12" s="14"/>
      <c r="E12" s="13"/>
      <c r="F12" s="13"/>
      <c r="G12" s="19"/>
      <c r="H12" s="19"/>
      <c r="I12" s="19"/>
    </row>
    <row r="13" spans="1:9">
      <c r="A13" s="15" t="s">
        <v>16</v>
      </c>
      <c r="B13" s="25"/>
      <c r="C13" s="26"/>
      <c r="D13" s="27"/>
      <c r="E13" s="26"/>
      <c r="F13" s="26"/>
      <c r="G13" s="19"/>
      <c r="H13" s="19"/>
      <c r="I13" s="19"/>
    </row>
    <row r="14" spans="1:9">
      <c r="A14" s="21" t="s">
        <v>17</v>
      </c>
      <c r="B14" s="12"/>
      <c r="C14" s="13"/>
      <c r="D14" s="14"/>
      <c r="E14" s="13"/>
      <c r="F14" s="13"/>
      <c r="G14" s="19"/>
      <c r="H14" s="19"/>
      <c r="I14" s="19"/>
    </row>
    <row r="15" spans="1:9">
      <c r="A15" s="21" t="s">
        <v>18</v>
      </c>
      <c r="B15" s="12"/>
      <c r="C15" s="13"/>
      <c r="D15" s="14"/>
      <c r="E15" s="13"/>
      <c r="F15" s="13"/>
      <c r="G15" s="19"/>
      <c r="H15" s="19"/>
      <c r="I15" s="19"/>
    </row>
    <row r="16" spans="1:9">
      <c r="A16" s="21" t="s">
        <v>19</v>
      </c>
      <c r="B16" s="12"/>
      <c r="C16" s="13"/>
      <c r="D16" s="14"/>
      <c r="E16" s="13"/>
      <c r="F16" s="13"/>
      <c r="G16" s="19"/>
      <c r="H16" s="19"/>
      <c r="I16" s="19"/>
    </row>
    <row r="17" spans="1:9">
      <c r="A17" s="21" t="s">
        <v>20</v>
      </c>
      <c r="B17" s="12"/>
      <c r="C17" s="13"/>
      <c r="D17" s="14"/>
      <c r="E17" s="13"/>
      <c r="F17" s="13"/>
      <c r="G17" s="19"/>
      <c r="H17" s="19"/>
      <c r="I17" s="19"/>
    </row>
    <row r="18" spans="1:92">
      <c r="A18" s="15" t="s">
        <v>21</v>
      </c>
      <c r="B18" s="20"/>
      <c r="C18" s="14"/>
      <c r="D18" s="14"/>
      <c r="E18" s="14"/>
      <c r="F18" s="14"/>
      <c r="G18" s="19"/>
      <c r="H18" s="19"/>
      <c r="I18" s="19"/>
      <c r="CN18" s="5"/>
    </row>
    <row r="19" spans="1:9">
      <c r="A19" s="15" t="s">
        <v>22</v>
      </c>
      <c r="B19" s="12" t="s">
        <v>23</v>
      </c>
      <c r="C19" s="13"/>
      <c r="D19" s="14"/>
      <c r="E19" s="13"/>
      <c r="F19" s="13"/>
      <c r="G19" s="19"/>
      <c r="H19" s="19"/>
      <c r="I19" s="19"/>
    </row>
    <row r="20" spans="1:9">
      <c r="A20" s="28" t="s">
        <v>24</v>
      </c>
      <c r="B20" s="28" t="s">
        <v>25</v>
      </c>
      <c r="C20" s="28" t="s">
        <v>24</v>
      </c>
      <c r="D20" s="28" t="s">
        <v>26</v>
      </c>
      <c r="E20" s="28" t="s">
        <v>27</v>
      </c>
      <c r="F20" s="28" t="s">
        <v>28</v>
      </c>
      <c r="G20" s="28" t="s">
        <v>29</v>
      </c>
      <c r="H20" s="28" t="s">
        <v>30</v>
      </c>
      <c r="I20" s="28" t="s">
        <v>31</v>
      </c>
    </row>
    <row r="21" customFormat="1" ht="13.5" spans="1:9">
      <c r="A21" s="29"/>
      <c r="B21" s="30" t="s">
        <v>32</v>
      </c>
      <c r="D21" s="31" t="s">
        <v>32</v>
      </c>
      <c r="E21" s="31"/>
      <c r="F21" s="31"/>
      <c r="G21" s="31"/>
      <c r="H21" s="31"/>
      <c r="I21" s="31"/>
    </row>
    <row r="22" customFormat="1" ht="13.5" spans="1:9">
      <c r="A22" s="29"/>
      <c r="B22" s="32" t="s">
        <v>33</v>
      </c>
      <c r="C22" s="33">
        <v>1</v>
      </c>
      <c r="D22" s="34" t="s">
        <v>33</v>
      </c>
      <c r="E22" s="34" t="s">
        <v>34</v>
      </c>
      <c r="F22" s="35">
        <v>6.6</v>
      </c>
      <c r="G22" s="35">
        <v>7.4</v>
      </c>
      <c r="H22" s="33" t="s">
        <v>35</v>
      </c>
      <c r="I22" s="67">
        <v>486</v>
      </c>
    </row>
    <row r="23" customFormat="1" ht="24" spans="1:9">
      <c r="A23" s="29"/>
      <c r="B23" s="32" t="s">
        <v>36</v>
      </c>
      <c r="C23" s="33">
        <v>2</v>
      </c>
      <c r="D23" s="34" t="s">
        <v>36</v>
      </c>
      <c r="E23" s="34" t="s">
        <v>34</v>
      </c>
      <c r="F23" s="35">
        <v>0.2</v>
      </c>
      <c r="G23" s="35">
        <v>0.2</v>
      </c>
      <c r="H23" s="33" t="s">
        <v>37</v>
      </c>
      <c r="I23" s="67">
        <v>18000</v>
      </c>
    </row>
    <row r="24" s="1" customFormat="1" ht="13.5" spans="1:10">
      <c r="A24" s="36">
        <v>155</v>
      </c>
      <c r="B24" s="37" t="s">
        <v>38</v>
      </c>
      <c r="C24" s="33">
        <v>3</v>
      </c>
      <c r="D24" s="34" t="s">
        <v>39</v>
      </c>
      <c r="E24" s="34" t="s">
        <v>40</v>
      </c>
      <c r="F24" s="35">
        <v>23.1</v>
      </c>
      <c r="G24" s="35">
        <v>25.6</v>
      </c>
      <c r="H24" s="33" t="s">
        <v>41</v>
      </c>
      <c r="I24" s="67">
        <v>141</v>
      </c>
      <c r="J24"/>
    </row>
    <row r="25" s="1" customFormat="1" ht="13.5" spans="1:10">
      <c r="A25" s="38">
        <v>2</v>
      </c>
      <c r="B25" s="39" t="s">
        <v>42</v>
      </c>
      <c r="C25" s="33">
        <v>6</v>
      </c>
      <c r="D25" s="34" t="s">
        <v>43</v>
      </c>
      <c r="E25" s="34" t="s">
        <v>40</v>
      </c>
      <c r="F25" s="35">
        <v>28.6</v>
      </c>
      <c r="G25" s="35">
        <v>31.6</v>
      </c>
      <c r="H25" s="33" t="s">
        <v>44</v>
      </c>
      <c r="I25" s="67">
        <v>114</v>
      </c>
      <c r="J25"/>
    </row>
    <row r="26" s="1" customFormat="1" ht="13.5" spans="1:10">
      <c r="A26" s="38">
        <v>5</v>
      </c>
      <c r="B26" s="39" t="s">
        <v>45</v>
      </c>
      <c r="C26" s="33">
        <v>9</v>
      </c>
      <c r="D26" s="34" t="s">
        <v>46</v>
      </c>
      <c r="E26" s="34" t="s">
        <v>40</v>
      </c>
      <c r="F26" s="35">
        <v>15.5</v>
      </c>
      <c r="G26" s="35">
        <v>17.2</v>
      </c>
      <c r="H26" s="33" t="s">
        <v>37</v>
      </c>
      <c r="I26" s="67">
        <v>209</v>
      </c>
      <c r="J26"/>
    </row>
    <row r="27" s="1" customFormat="1" ht="24" spans="1:10">
      <c r="A27" s="38">
        <v>202</v>
      </c>
      <c r="B27" s="39" t="s">
        <v>47</v>
      </c>
      <c r="C27" s="33">
        <v>4</v>
      </c>
      <c r="D27" s="34" t="s">
        <v>48</v>
      </c>
      <c r="E27" s="34" t="s">
        <v>49</v>
      </c>
      <c r="F27" s="35">
        <v>0.5</v>
      </c>
      <c r="G27" s="35">
        <v>0.6</v>
      </c>
      <c r="H27" s="33" t="s">
        <v>41</v>
      </c>
      <c r="I27" s="67">
        <v>6000</v>
      </c>
      <c r="J27"/>
    </row>
    <row r="28" s="1" customFormat="1" ht="24" spans="1:10">
      <c r="A28" s="38">
        <v>203</v>
      </c>
      <c r="B28" s="39" t="s">
        <v>50</v>
      </c>
      <c r="C28" s="33">
        <v>7</v>
      </c>
      <c r="D28" s="34" t="s">
        <v>51</v>
      </c>
      <c r="E28" s="34" t="s">
        <v>52</v>
      </c>
      <c r="F28" s="35">
        <v>1</v>
      </c>
      <c r="G28" s="35">
        <v>1</v>
      </c>
      <c r="H28" s="33" t="s">
        <v>44</v>
      </c>
      <c r="I28" s="67">
        <v>3600</v>
      </c>
      <c r="J28"/>
    </row>
    <row r="29" s="1" customFormat="1" ht="13.5" spans="1:10">
      <c r="A29" s="38">
        <v>204</v>
      </c>
      <c r="B29" s="39" t="s">
        <v>53</v>
      </c>
      <c r="C29" s="33">
        <v>10</v>
      </c>
      <c r="D29" s="34" t="s">
        <v>54</v>
      </c>
      <c r="E29" s="34" t="s">
        <v>40</v>
      </c>
      <c r="F29" s="35">
        <v>0.4</v>
      </c>
      <c r="G29" s="35">
        <v>0.5</v>
      </c>
      <c r="H29" s="33" t="s">
        <v>37</v>
      </c>
      <c r="I29" s="67">
        <v>7200</v>
      </c>
      <c r="J29"/>
    </row>
    <row r="30" s="1" customFormat="1" ht="13.5" spans="1:10">
      <c r="A30" s="38">
        <v>3</v>
      </c>
      <c r="B30" s="39" t="s">
        <v>55</v>
      </c>
      <c r="C30" s="33">
        <v>5</v>
      </c>
      <c r="D30" s="34" t="s">
        <v>56</v>
      </c>
      <c r="E30" s="34" t="s">
        <v>49</v>
      </c>
      <c r="F30" s="35">
        <v>0.4</v>
      </c>
      <c r="G30" s="35">
        <v>0.5</v>
      </c>
      <c r="H30" s="33" t="s">
        <v>41</v>
      </c>
      <c r="I30" s="67">
        <v>7200</v>
      </c>
      <c r="J30"/>
    </row>
    <row r="31" s="1" customFormat="1" ht="24" spans="1:10">
      <c r="A31" s="38">
        <v>6</v>
      </c>
      <c r="B31" s="39" t="s">
        <v>57</v>
      </c>
      <c r="C31" s="33">
        <v>8</v>
      </c>
      <c r="D31" s="34" t="s">
        <v>58</v>
      </c>
      <c r="E31" s="34" t="s">
        <v>59</v>
      </c>
      <c r="F31" s="35">
        <v>0.5</v>
      </c>
      <c r="G31" s="35">
        <v>0.5</v>
      </c>
      <c r="H31" s="33" t="s">
        <v>44</v>
      </c>
      <c r="I31" s="67">
        <v>7200</v>
      </c>
      <c r="J31"/>
    </row>
    <row r="32" s="1" customFormat="1" ht="24" spans="1:10">
      <c r="A32" s="40">
        <v>1</v>
      </c>
      <c r="B32" s="41" t="s">
        <v>60</v>
      </c>
      <c r="C32" s="40">
        <v>63</v>
      </c>
      <c r="D32" s="42" t="s">
        <v>61</v>
      </c>
      <c r="E32" s="43" t="s">
        <v>40</v>
      </c>
      <c r="F32" s="43">
        <v>0.2</v>
      </c>
      <c r="G32" s="43">
        <v>0.2</v>
      </c>
      <c r="H32" s="43" t="s">
        <v>37</v>
      </c>
      <c r="I32" s="43"/>
      <c r="J32"/>
    </row>
    <row r="33" s="1" customFormat="1" ht="13" customHeight="1" spans="1:10">
      <c r="A33" s="38">
        <v>170</v>
      </c>
      <c r="B33" s="39" t="s">
        <v>62</v>
      </c>
      <c r="C33" s="33">
        <v>11</v>
      </c>
      <c r="D33" s="34" t="s">
        <v>63</v>
      </c>
      <c r="E33" s="34" t="s">
        <v>40</v>
      </c>
      <c r="F33" s="35">
        <v>22</v>
      </c>
      <c r="G33" s="35">
        <v>24.3</v>
      </c>
      <c r="H33" s="33" t="s">
        <v>41</v>
      </c>
      <c r="I33" s="67">
        <v>148</v>
      </c>
      <c r="J33"/>
    </row>
    <row r="34" s="2" customFormat="1" ht="13" customHeight="1" spans="1:10">
      <c r="A34" s="38">
        <v>15</v>
      </c>
      <c r="B34" s="44" t="s">
        <v>64</v>
      </c>
      <c r="C34" s="45"/>
      <c r="D34" s="46" t="s">
        <v>64</v>
      </c>
      <c r="E34" s="46" t="s">
        <v>65</v>
      </c>
      <c r="F34" s="47">
        <v>20.8</v>
      </c>
      <c r="G34" s="47">
        <v>23.4</v>
      </c>
      <c r="H34" s="48" t="s">
        <v>37</v>
      </c>
      <c r="I34" s="68">
        <v>154</v>
      </c>
      <c r="J34"/>
    </row>
    <row r="35" s="2" customFormat="1" ht="13" customHeight="1" spans="1:10">
      <c r="A35" s="38">
        <v>16</v>
      </c>
      <c r="B35" s="39" t="s">
        <v>66</v>
      </c>
      <c r="C35" s="45">
        <v>13</v>
      </c>
      <c r="D35" s="46" t="s">
        <v>67</v>
      </c>
      <c r="E35" s="46" t="s">
        <v>65</v>
      </c>
      <c r="F35" s="47">
        <v>11.1</v>
      </c>
      <c r="G35" s="47">
        <v>12.5</v>
      </c>
      <c r="H35" s="48" t="s">
        <v>37</v>
      </c>
      <c r="I35" s="68">
        <v>288</v>
      </c>
      <c r="J35"/>
    </row>
    <row r="36" s="1" customFormat="1" ht="13" customHeight="1" spans="1:10">
      <c r="A36" s="38">
        <v>11</v>
      </c>
      <c r="B36" s="39" t="s">
        <v>68</v>
      </c>
      <c r="C36" s="49"/>
      <c r="D36" s="42"/>
      <c r="E36" s="43"/>
      <c r="F36" s="43"/>
      <c r="G36" s="43"/>
      <c r="H36" s="43"/>
      <c r="I36" s="43"/>
      <c r="J36"/>
    </row>
    <row r="37" ht="13.5" spans="1:10">
      <c r="A37" s="50"/>
      <c r="B37" s="30" t="s">
        <v>69</v>
      </c>
      <c r="C37" s="19"/>
      <c r="D37" s="51" t="s">
        <v>69</v>
      </c>
      <c r="E37" s="31"/>
      <c r="F37" s="31"/>
      <c r="G37" s="31">
        <f>SUM(G38:G42)</f>
        <v>150.6</v>
      </c>
      <c r="H37" s="31"/>
      <c r="I37" s="31"/>
      <c r="J37"/>
    </row>
    <row r="38" s="1" customFormat="1" ht="24" spans="1:10">
      <c r="A38" s="52">
        <v>68</v>
      </c>
      <c r="B38" s="32" t="s">
        <v>70</v>
      </c>
      <c r="C38" s="53">
        <v>64</v>
      </c>
      <c r="D38" s="54" t="s">
        <v>71</v>
      </c>
      <c r="E38" s="54" t="s">
        <v>65</v>
      </c>
      <c r="F38" s="55">
        <v>22.2</v>
      </c>
      <c r="G38" s="55">
        <v>25</v>
      </c>
      <c r="H38" s="53" t="s">
        <v>72</v>
      </c>
      <c r="I38" s="69">
        <v>144</v>
      </c>
      <c r="J38"/>
    </row>
    <row r="39" ht="24" spans="1:10">
      <c r="A39" s="52">
        <v>20</v>
      </c>
      <c r="B39" s="32" t="s">
        <v>73</v>
      </c>
      <c r="C39" s="33">
        <v>14</v>
      </c>
      <c r="D39" s="34" t="s">
        <v>73</v>
      </c>
      <c r="E39" s="34" t="s">
        <v>74</v>
      </c>
      <c r="F39" s="35">
        <v>32</v>
      </c>
      <c r="G39" s="35">
        <v>35.9</v>
      </c>
      <c r="H39" s="33" t="s">
        <v>75</v>
      </c>
      <c r="I39" s="67">
        <v>100</v>
      </c>
      <c r="J39"/>
    </row>
    <row r="40" ht="24" spans="1:10">
      <c r="A40" s="52">
        <v>21</v>
      </c>
      <c r="B40" s="32" t="s">
        <v>76</v>
      </c>
      <c r="C40" s="33">
        <v>15</v>
      </c>
      <c r="D40" s="34" t="s">
        <v>76</v>
      </c>
      <c r="E40" s="34" t="s">
        <v>77</v>
      </c>
      <c r="F40" s="35">
        <v>24.1</v>
      </c>
      <c r="G40" s="35">
        <v>27.1</v>
      </c>
      <c r="H40" s="33" t="s">
        <v>75</v>
      </c>
      <c r="I40" s="67">
        <v>133</v>
      </c>
      <c r="J40"/>
    </row>
    <row r="41" ht="13.5" spans="1:10">
      <c r="A41" s="52">
        <v>22</v>
      </c>
      <c r="B41" s="32" t="s">
        <v>78</v>
      </c>
      <c r="C41" s="33">
        <v>16</v>
      </c>
      <c r="D41" s="34" t="s">
        <v>79</v>
      </c>
      <c r="E41" s="34" t="s">
        <v>80</v>
      </c>
      <c r="F41" s="35">
        <v>31.1</v>
      </c>
      <c r="G41" s="35">
        <v>35</v>
      </c>
      <c r="H41" s="33" t="s">
        <v>81</v>
      </c>
      <c r="I41" s="67">
        <v>103</v>
      </c>
      <c r="J41"/>
    </row>
    <row r="42" ht="24" spans="1:10">
      <c r="A42" s="52">
        <v>23</v>
      </c>
      <c r="B42" s="32" t="s">
        <v>82</v>
      </c>
      <c r="C42" s="33">
        <v>17</v>
      </c>
      <c r="D42" s="34" t="s">
        <v>83</v>
      </c>
      <c r="E42" s="34" t="s">
        <v>80</v>
      </c>
      <c r="F42" s="35">
        <v>24.2</v>
      </c>
      <c r="G42" s="35">
        <v>27.6</v>
      </c>
      <c r="H42" s="33" t="s">
        <v>75</v>
      </c>
      <c r="I42" s="67">
        <v>130</v>
      </c>
      <c r="J42"/>
    </row>
    <row r="43" ht="13.5" spans="1:10">
      <c r="A43" s="50"/>
      <c r="B43" s="30" t="s">
        <v>84</v>
      </c>
      <c r="C43" s="19"/>
      <c r="D43" s="51" t="s">
        <v>84</v>
      </c>
      <c r="E43" s="31"/>
      <c r="F43" s="31"/>
      <c r="G43" s="31">
        <f>SUM(G44:G52)</f>
        <v>266</v>
      </c>
      <c r="H43" s="31"/>
      <c r="I43" s="31"/>
      <c r="J43"/>
    </row>
    <row r="44" ht="24" spans="1:10">
      <c r="A44" s="52">
        <v>24</v>
      </c>
      <c r="B44" s="32" t="s">
        <v>85</v>
      </c>
      <c r="C44" s="33">
        <v>18</v>
      </c>
      <c r="D44" s="34" t="s">
        <v>86</v>
      </c>
      <c r="E44" s="34" t="s">
        <v>80</v>
      </c>
      <c r="F44" s="35">
        <v>18.8</v>
      </c>
      <c r="G44" s="35">
        <v>21.3</v>
      </c>
      <c r="H44" s="33" t="s">
        <v>87</v>
      </c>
      <c r="I44" s="67">
        <v>169</v>
      </c>
      <c r="J44"/>
    </row>
    <row r="45" ht="24" spans="1:10">
      <c r="A45" s="52">
        <v>25</v>
      </c>
      <c r="B45" s="32" t="s">
        <v>88</v>
      </c>
      <c r="C45" s="33">
        <v>19</v>
      </c>
      <c r="D45" s="34" t="s">
        <v>88</v>
      </c>
      <c r="E45" s="34" t="s">
        <v>80</v>
      </c>
      <c r="F45" s="35">
        <v>9.1</v>
      </c>
      <c r="G45" s="35">
        <v>10.1</v>
      </c>
      <c r="H45" s="33" t="s">
        <v>44</v>
      </c>
      <c r="I45" s="67">
        <v>356</v>
      </c>
      <c r="J45"/>
    </row>
    <row r="46" ht="24" spans="1:10">
      <c r="A46" s="52">
        <v>26</v>
      </c>
      <c r="B46" s="32" t="s">
        <v>89</v>
      </c>
      <c r="C46" s="33">
        <v>20</v>
      </c>
      <c r="D46" s="34" t="s">
        <v>90</v>
      </c>
      <c r="E46" s="34" t="s">
        <v>80</v>
      </c>
      <c r="F46" s="35">
        <v>34.9</v>
      </c>
      <c r="G46" s="35">
        <v>38.7</v>
      </c>
      <c r="H46" s="33" t="s">
        <v>81</v>
      </c>
      <c r="I46" s="67">
        <v>93</v>
      </c>
      <c r="J46"/>
    </row>
    <row r="47" ht="24" spans="1:10">
      <c r="A47" s="52">
        <v>28</v>
      </c>
      <c r="B47" s="32" t="s">
        <v>91</v>
      </c>
      <c r="C47" s="33">
        <v>21</v>
      </c>
      <c r="D47" s="34" t="s">
        <v>91</v>
      </c>
      <c r="E47" s="34" t="s">
        <v>92</v>
      </c>
      <c r="F47" s="35">
        <v>17.6</v>
      </c>
      <c r="G47" s="35">
        <v>19.7</v>
      </c>
      <c r="H47" s="33" t="s">
        <v>81</v>
      </c>
      <c r="I47" s="67">
        <v>183</v>
      </c>
      <c r="J47"/>
    </row>
    <row r="48" ht="24" spans="1:10">
      <c r="A48" s="52">
        <v>29</v>
      </c>
      <c r="B48" s="32" t="s">
        <v>93</v>
      </c>
      <c r="C48" s="33">
        <v>22</v>
      </c>
      <c r="D48" s="34" t="s">
        <v>94</v>
      </c>
      <c r="E48" s="34" t="s">
        <v>65</v>
      </c>
      <c r="F48" s="35">
        <v>29.1</v>
      </c>
      <c r="G48" s="35">
        <v>32.7</v>
      </c>
      <c r="H48" s="33" t="s">
        <v>95</v>
      </c>
      <c r="I48" s="67">
        <v>110</v>
      </c>
      <c r="J48"/>
    </row>
    <row r="49" ht="13.5" spans="1:10">
      <c r="A49" s="52">
        <v>30</v>
      </c>
      <c r="B49" s="32" t="s">
        <v>96</v>
      </c>
      <c r="C49" s="33">
        <v>23</v>
      </c>
      <c r="D49" s="34" t="s">
        <v>97</v>
      </c>
      <c r="E49" s="34" t="s">
        <v>40</v>
      </c>
      <c r="F49" s="35">
        <v>18.6</v>
      </c>
      <c r="G49" s="35">
        <v>22</v>
      </c>
      <c r="H49" s="33" t="s">
        <v>41</v>
      </c>
      <c r="I49" s="67">
        <v>164</v>
      </c>
      <c r="J49"/>
    </row>
    <row r="50" ht="24" spans="1:10">
      <c r="A50" s="52">
        <v>31</v>
      </c>
      <c r="B50" s="32" t="s">
        <v>98</v>
      </c>
      <c r="C50" s="33">
        <v>24</v>
      </c>
      <c r="D50" s="34" t="s">
        <v>99</v>
      </c>
      <c r="E50" s="34" t="s">
        <v>80</v>
      </c>
      <c r="F50" s="35">
        <v>70.7</v>
      </c>
      <c r="G50" s="35">
        <v>79.5</v>
      </c>
      <c r="H50" s="33" t="s">
        <v>100</v>
      </c>
      <c r="I50" s="67">
        <v>45</v>
      </c>
      <c r="J50"/>
    </row>
    <row r="51" ht="24" spans="1:10">
      <c r="A51" s="56">
        <v>32</v>
      </c>
      <c r="B51" s="57" t="s">
        <v>101</v>
      </c>
      <c r="C51" s="53">
        <v>25</v>
      </c>
      <c r="D51" s="54" t="s">
        <v>102</v>
      </c>
      <c r="E51" s="54" t="s">
        <v>103</v>
      </c>
      <c r="F51" s="55">
        <v>12.3</v>
      </c>
      <c r="G51" s="55">
        <v>15.1</v>
      </c>
      <c r="H51" s="53" t="s">
        <v>104</v>
      </c>
      <c r="I51" s="69">
        <v>238</v>
      </c>
      <c r="J51"/>
    </row>
    <row r="52" ht="24" spans="1:10">
      <c r="A52" s="56">
        <v>75</v>
      </c>
      <c r="B52" s="57" t="s">
        <v>105</v>
      </c>
      <c r="C52" s="53">
        <v>70</v>
      </c>
      <c r="D52" s="54" t="s">
        <v>106</v>
      </c>
      <c r="E52" s="54" t="s">
        <v>107</v>
      </c>
      <c r="F52" s="55">
        <v>23.4</v>
      </c>
      <c r="G52" s="55">
        <v>26.9</v>
      </c>
      <c r="H52" s="53" t="s">
        <v>104</v>
      </c>
      <c r="I52" s="69">
        <v>134</v>
      </c>
      <c r="J52"/>
    </row>
    <row r="53" ht="13.5" spans="1:10">
      <c r="A53" s="50"/>
      <c r="B53" s="30" t="s">
        <v>108</v>
      </c>
      <c r="C53" s="19"/>
      <c r="D53" s="51" t="s">
        <v>108</v>
      </c>
      <c r="E53" s="31"/>
      <c r="F53" s="31"/>
      <c r="G53" s="31">
        <f>SUM(G56:G82)</f>
        <v>663.1</v>
      </c>
      <c r="H53" s="31"/>
      <c r="I53" s="31"/>
      <c r="J53"/>
    </row>
    <row r="54" ht="13.5" spans="1:10">
      <c r="A54" s="52">
        <v>27</v>
      </c>
      <c r="B54" s="32" t="s">
        <v>109</v>
      </c>
      <c r="C54" s="33">
        <v>26</v>
      </c>
      <c r="D54" s="34" t="s">
        <v>110</v>
      </c>
      <c r="E54" s="34" t="s">
        <v>40</v>
      </c>
      <c r="F54" s="35">
        <v>27.9</v>
      </c>
      <c r="G54" s="35">
        <v>30.8</v>
      </c>
      <c r="H54" s="33" t="s">
        <v>41</v>
      </c>
      <c r="I54" s="67">
        <v>117</v>
      </c>
      <c r="J54"/>
    </row>
    <row r="55" ht="13.5" spans="1:10">
      <c r="A55" s="52">
        <v>14</v>
      </c>
      <c r="B55" s="32" t="s">
        <v>111</v>
      </c>
      <c r="C55" s="33">
        <v>27</v>
      </c>
      <c r="D55" s="34" t="s">
        <v>111</v>
      </c>
      <c r="E55" s="34" t="s">
        <v>112</v>
      </c>
      <c r="F55" s="35">
        <v>6</v>
      </c>
      <c r="G55" s="35">
        <v>6</v>
      </c>
      <c r="H55" s="33" t="s">
        <v>35</v>
      </c>
      <c r="I55" s="67">
        <v>600</v>
      </c>
      <c r="J55"/>
    </row>
    <row r="56" ht="24" spans="1:10">
      <c r="A56" s="52">
        <v>60</v>
      </c>
      <c r="B56" s="32" t="s">
        <v>113</v>
      </c>
      <c r="C56" s="33">
        <v>28</v>
      </c>
      <c r="D56" s="34" t="s">
        <v>114</v>
      </c>
      <c r="E56" s="34" t="s">
        <v>40</v>
      </c>
      <c r="F56" s="35">
        <v>4</v>
      </c>
      <c r="G56" s="35">
        <v>4.4</v>
      </c>
      <c r="H56" s="33" t="s">
        <v>35</v>
      </c>
      <c r="I56" s="67">
        <v>818</v>
      </c>
      <c r="J56"/>
    </row>
    <row r="57" ht="24" spans="1:10">
      <c r="A57" s="52">
        <v>61</v>
      </c>
      <c r="B57" s="32" t="s">
        <v>115</v>
      </c>
      <c r="C57" s="33">
        <v>29</v>
      </c>
      <c r="D57" s="34" t="s">
        <v>115</v>
      </c>
      <c r="E57" s="34" t="s">
        <v>40</v>
      </c>
      <c r="F57" s="35">
        <v>1.8</v>
      </c>
      <c r="G57" s="35">
        <v>2</v>
      </c>
      <c r="H57" s="33" t="s">
        <v>35</v>
      </c>
      <c r="I57" s="67">
        <v>1800</v>
      </c>
      <c r="J57"/>
    </row>
    <row r="58" ht="24" spans="1:10">
      <c r="A58" s="52">
        <v>62</v>
      </c>
      <c r="B58" s="32" t="s">
        <v>116</v>
      </c>
      <c r="C58" s="33">
        <v>30</v>
      </c>
      <c r="D58" s="34" t="s">
        <v>116</v>
      </c>
      <c r="E58" s="34" t="s">
        <v>40</v>
      </c>
      <c r="F58" s="35">
        <v>1.8</v>
      </c>
      <c r="G58" s="35">
        <v>2</v>
      </c>
      <c r="H58" s="33" t="s">
        <v>35</v>
      </c>
      <c r="I58" s="67">
        <v>1800</v>
      </c>
      <c r="J58"/>
    </row>
    <row r="59" s="1" customFormat="1" ht="24" spans="1:10">
      <c r="A59" s="52">
        <v>36</v>
      </c>
      <c r="B59" s="32" t="s">
        <v>117</v>
      </c>
      <c r="C59" s="53">
        <v>31</v>
      </c>
      <c r="D59" s="54" t="s">
        <v>117</v>
      </c>
      <c r="E59" s="54" t="s">
        <v>74</v>
      </c>
      <c r="F59" s="55">
        <v>19.9</v>
      </c>
      <c r="G59" s="55">
        <v>22.2</v>
      </c>
      <c r="H59" s="53" t="s">
        <v>87</v>
      </c>
      <c r="I59" s="69">
        <v>162</v>
      </c>
      <c r="J59"/>
    </row>
    <row r="60" s="1" customFormat="1" ht="24" spans="1:10">
      <c r="A60" s="52">
        <v>37</v>
      </c>
      <c r="B60" s="32" t="s">
        <v>118</v>
      </c>
      <c r="C60" s="53">
        <v>32</v>
      </c>
      <c r="D60" s="54" t="s">
        <v>118</v>
      </c>
      <c r="E60" s="54" t="s">
        <v>74</v>
      </c>
      <c r="F60" s="55">
        <v>33</v>
      </c>
      <c r="G60" s="55">
        <v>37</v>
      </c>
      <c r="H60" s="53" t="s">
        <v>75</v>
      </c>
      <c r="I60" s="69">
        <v>97</v>
      </c>
      <c r="J60"/>
    </row>
    <row r="61" s="1" customFormat="1" ht="24" spans="1:10">
      <c r="A61" s="52">
        <v>63</v>
      </c>
      <c r="B61" s="32" t="s">
        <v>119</v>
      </c>
      <c r="C61" s="53">
        <v>33</v>
      </c>
      <c r="D61" s="54" t="s">
        <v>120</v>
      </c>
      <c r="E61" s="54" t="s">
        <v>77</v>
      </c>
      <c r="F61" s="55">
        <v>16.8</v>
      </c>
      <c r="G61" s="55">
        <v>18.8</v>
      </c>
      <c r="H61" s="53" t="s">
        <v>87</v>
      </c>
      <c r="I61" s="69">
        <v>191</v>
      </c>
      <c r="J61"/>
    </row>
    <row r="62" s="1" customFormat="1" ht="24" spans="1:10">
      <c r="A62" s="52">
        <v>39</v>
      </c>
      <c r="B62" s="32" t="s">
        <v>121</v>
      </c>
      <c r="C62" s="53">
        <v>34</v>
      </c>
      <c r="D62" s="58" t="s">
        <v>122</v>
      </c>
      <c r="E62" s="58" t="s">
        <v>74</v>
      </c>
      <c r="F62" s="59">
        <v>35.5</v>
      </c>
      <c r="G62" s="59">
        <v>39.9</v>
      </c>
      <c r="H62" s="60" t="s">
        <v>75</v>
      </c>
      <c r="I62" s="70">
        <v>90</v>
      </c>
      <c r="J62"/>
    </row>
    <row r="63" s="1" customFormat="1" ht="13.5" spans="1:10">
      <c r="A63" s="52">
        <v>67</v>
      </c>
      <c r="B63" s="32" t="s">
        <v>123</v>
      </c>
      <c r="C63" s="53">
        <v>69</v>
      </c>
      <c r="D63" s="61" t="s">
        <v>124</v>
      </c>
      <c r="E63" s="61" t="s">
        <v>80</v>
      </c>
      <c r="F63" s="62">
        <v>9.1</v>
      </c>
      <c r="G63" s="62">
        <v>11.6</v>
      </c>
      <c r="H63" s="63" t="s">
        <v>44</v>
      </c>
      <c r="I63" s="71">
        <v>310</v>
      </c>
      <c r="J63"/>
    </row>
    <row r="64" s="1" customFormat="1" ht="13.5" spans="1:10">
      <c r="A64" s="56">
        <v>56</v>
      </c>
      <c r="B64" s="57" t="s">
        <v>125</v>
      </c>
      <c r="C64" s="53"/>
      <c r="D64" s="64"/>
      <c r="E64" s="64"/>
      <c r="F64" s="65"/>
      <c r="G64" s="65"/>
      <c r="H64" s="66"/>
      <c r="I64" s="72"/>
      <c r="J64"/>
    </row>
    <row r="65" s="1" customFormat="1" ht="24" spans="1:10">
      <c r="A65" s="73">
        <v>64</v>
      </c>
      <c r="B65" s="74" t="s">
        <v>126</v>
      </c>
      <c r="C65" s="53">
        <v>35</v>
      </c>
      <c r="D65" s="54" t="s">
        <v>127</v>
      </c>
      <c r="E65" s="54" t="s">
        <v>80</v>
      </c>
      <c r="F65" s="55">
        <v>15.5</v>
      </c>
      <c r="G65" s="55">
        <v>17.1</v>
      </c>
      <c r="H65" s="53" t="s">
        <v>44</v>
      </c>
      <c r="I65" s="69">
        <v>211</v>
      </c>
      <c r="J65"/>
    </row>
    <row r="66" s="1" customFormat="1" ht="13.5" spans="1:10">
      <c r="A66" s="75"/>
      <c r="B66" s="76"/>
      <c r="C66" s="77">
        <v>65</v>
      </c>
      <c r="D66" s="78" t="s">
        <v>128</v>
      </c>
      <c r="E66" s="78" t="s">
        <v>80</v>
      </c>
      <c r="F66" s="79">
        <v>13.8</v>
      </c>
      <c r="G66" s="79">
        <v>15.4</v>
      </c>
      <c r="H66" s="80" t="s">
        <v>87</v>
      </c>
      <c r="I66" s="111">
        <v>234</v>
      </c>
      <c r="J66"/>
    </row>
    <row r="67" s="1" customFormat="1" ht="24" spans="1:10">
      <c r="A67" s="52">
        <v>41</v>
      </c>
      <c r="B67" s="32" t="s">
        <v>129</v>
      </c>
      <c r="C67" s="53">
        <v>36</v>
      </c>
      <c r="D67" s="54" t="s">
        <v>129</v>
      </c>
      <c r="E67" s="54" t="s">
        <v>40</v>
      </c>
      <c r="F67" s="55">
        <v>4.5</v>
      </c>
      <c r="G67" s="55">
        <v>5</v>
      </c>
      <c r="H67" s="53" t="s">
        <v>35</v>
      </c>
      <c r="I67" s="69">
        <v>720</v>
      </c>
      <c r="J67"/>
    </row>
    <row r="68" s="1" customFormat="1" ht="24" spans="1:10">
      <c r="A68" s="52">
        <v>42</v>
      </c>
      <c r="B68" s="32" t="s">
        <v>130</v>
      </c>
      <c r="C68" s="53">
        <v>37</v>
      </c>
      <c r="D68" s="54" t="s">
        <v>130</v>
      </c>
      <c r="E68" s="54" t="s">
        <v>74</v>
      </c>
      <c r="F68" s="55">
        <v>25.2</v>
      </c>
      <c r="G68" s="55">
        <v>28</v>
      </c>
      <c r="H68" s="53" t="s">
        <v>100</v>
      </c>
      <c r="I68" s="69">
        <v>129</v>
      </c>
      <c r="J68"/>
    </row>
    <row r="69" s="1" customFormat="1" spans="1:10">
      <c r="A69" s="56">
        <v>65</v>
      </c>
      <c r="B69" s="57" t="s">
        <v>131</v>
      </c>
      <c r="C69" s="81">
        <v>38</v>
      </c>
      <c r="D69" s="82" t="s">
        <v>132</v>
      </c>
      <c r="E69" s="82" t="s">
        <v>80</v>
      </c>
      <c r="F69" s="83">
        <v>43.6</v>
      </c>
      <c r="G69" s="83">
        <v>53.7</v>
      </c>
      <c r="H69" s="84" t="s">
        <v>100</v>
      </c>
      <c r="I69" s="112">
        <v>67</v>
      </c>
      <c r="J69" s="113" t="s">
        <v>133</v>
      </c>
    </row>
    <row r="70" s="1" customFormat="1" ht="24" spans="1:10">
      <c r="A70" s="56">
        <v>44</v>
      </c>
      <c r="B70" s="85" t="s">
        <v>134</v>
      </c>
      <c r="C70" s="81">
        <v>39</v>
      </c>
      <c r="D70" s="86"/>
      <c r="E70" s="86"/>
      <c r="F70" s="87"/>
      <c r="G70" s="87"/>
      <c r="H70" s="88"/>
      <c r="I70" s="114"/>
      <c r="J70" s="113"/>
    </row>
    <row r="71" s="1" customFormat="1" ht="36" spans="1:10">
      <c r="A71" s="52">
        <v>45</v>
      </c>
      <c r="B71" s="32" t="s">
        <v>135</v>
      </c>
      <c r="C71" s="53">
        <v>40</v>
      </c>
      <c r="D71" s="54" t="s">
        <v>136</v>
      </c>
      <c r="E71" s="54" t="s">
        <v>77</v>
      </c>
      <c r="F71" s="55">
        <v>25.1</v>
      </c>
      <c r="G71" s="55">
        <v>28.3</v>
      </c>
      <c r="H71" s="53" t="s">
        <v>87</v>
      </c>
      <c r="I71" s="69">
        <v>127</v>
      </c>
      <c r="J71"/>
    </row>
    <row r="72" s="1" customFormat="1" ht="24" spans="1:10">
      <c r="A72" s="52">
        <v>46</v>
      </c>
      <c r="B72" s="32" t="s">
        <v>137</v>
      </c>
      <c r="C72" s="53">
        <v>41</v>
      </c>
      <c r="D72" s="54" t="s">
        <v>138</v>
      </c>
      <c r="E72" s="54" t="s">
        <v>40</v>
      </c>
      <c r="F72" s="55">
        <v>15.3</v>
      </c>
      <c r="G72" s="55">
        <v>16.9</v>
      </c>
      <c r="H72" s="53" t="s">
        <v>35</v>
      </c>
      <c r="I72" s="69">
        <v>213</v>
      </c>
      <c r="J72"/>
    </row>
    <row r="73" s="1" customFormat="1" ht="24" spans="1:10">
      <c r="A73" s="52">
        <v>73</v>
      </c>
      <c r="B73" s="32" t="s">
        <v>139</v>
      </c>
      <c r="C73" s="53">
        <v>67</v>
      </c>
      <c r="D73" s="54" t="s">
        <v>140</v>
      </c>
      <c r="E73" s="54" t="s">
        <v>80</v>
      </c>
      <c r="F73" s="55">
        <v>14.9</v>
      </c>
      <c r="G73" s="55">
        <v>16.5</v>
      </c>
      <c r="H73" s="53" t="s">
        <v>75</v>
      </c>
      <c r="I73" s="69">
        <v>218</v>
      </c>
      <c r="J73"/>
    </row>
    <row r="74" s="1" customFormat="1" ht="24" spans="1:10">
      <c r="A74" s="52">
        <v>66</v>
      </c>
      <c r="B74" s="32" t="s">
        <v>141</v>
      </c>
      <c r="C74" s="53">
        <v>42</v>
      </c>
      <c r="D74" s="54" t="s">
        <v>142</v>
      </c>
      <c r="E74" s="54" t="s">
        <v>80</v>
      </c>
      <c r="F74" s="55">
        <v>63.4</v>
      </c>
      <c r="G74" s="55">
        <v>74.8</v>
      </c>
      <c r="H74" s="53" t="s">
        <v>143</v>
      </c>
      <c r="I74" s="69">
        <v>48</v>
      </c>
      <c r="J74"/>
    </row>
    <row r="75" s="1" customFormat="1" ht="24" spans="1:10">
      <c r="A75" s="52">
        <v>74</v>
      </c>
      <c r="B75" s="32" t="s">
        <v>144</v>
      </c>
      <c r="C75" s="53">
        <v>68</v>
      </c>
      <c r="D75" s="54" t="s">
        <v>145</v>
      </c>
      <c r="E75" s="54" t="s">
        <v>80</v>
      </c>
      <c r="F75" s="55">
        <v>33.1</v>
      </c>
      <c r="G75" s="55">
        <v>36.7</v>
      </c>
      <c r="H75" s="53" t="s">
        <v>100</v>
      </c>
      <c r="I75" s="69">
        <v>98</v>
      </c>
      <c r="J75"/>
    </row>
    <row r="76" ht="24" spans="1:10">
      <c r="A76" s="52">
        <v>48</v>
      </c>
      <c r="B76" s="32" t="s">
        <v>146</v>
      </c>
      <c r="C76" s="33">
        <v>43</v>
      </c>
      <c r="D76" s="34" t="s">
        <v>146</v>
      </c>
      <c r="E76" s="34" t="s">
        <v>80</v>
      </c>
      <c r="F76" s="35">
        <v>33.9</v>
      </c>
      <c r="G76" s="35">
        <v>37.7</v>
      </c>
      <c r="H76" s="33" t="s">
        <v>100</v>
      </c>
      <c r="I76" s="67">
        <v>95</v>
      </c>
      <c r="J76"/>
    </row>
    <row r="77" spans="1:10">
      <c r="A77" s="56">
        <v>49</v>
      </c>
      <c r="B77" s="57" t="s">
        <v>147</v>
      </c>
      <c r="C77" s="89">
        <v>44</v>
      </c>
      <c r="D77" s="90" t="s">
        <v>148</v>
      </c>
      <c r="E77" s="90" t="s">
        <v>80</v>
      </c>
      <c r="F77" s="91">
        <v>55.8</v>
      </c>
      <c r="G77" s="91">
        <v>69.1</v>
      </c>
      <c r="H77" s="92" t="s">
        <v>149</v>
      </c>
      <c r="I77" s="115">
        <v>52</v>
      </c>
      <c r="J77" s="113" t="s">
        <v>150</v>
      </c>
    </row>
    <row r="78" spans="1:10">
      <c r="A78" s="93">
        <v>50</v>
      </c>
      <c r="B78" s="94" t="s">
        <v>151</v>
      </c>
      <c r="C78" s="89">
        <v>45</v>
      </c>
      <c r="D78" s="95"/>
      <c r="E78" s="95"/>
      <c r="F78" s="96"/>
      <c r="G78" s="96"/>
      <c r="H78" s="97"/>
      <c r="I78" s="116"/>
      <c r="J78" s="113"/>
    </row>
    <row r="79" s="1" customFormat="1" ht="24" spans="1:10">
      <c r="A79" s="98"/>
      <c r="B79" s="99"/>
      <c r="C79" s="100">
        <v>77</v>
      </c>
      <c r="D79" s="101" t="s">
        <v>152</v>
      </c>
      <c r="E79" s="101" t="s">
        <v>80</v>
      </c>
      <c r="F79" s="102">
        <v>14.1</v>
      </c>
      <c r="G79" s="102">
        <v>15.8</v>
      </c>
      <c r="H79" s="100" t="s">
        <v>44</v>
      </c>
      <c r="I79" s="117">
        <v>228</v>
      </c>
      <c r="J79" s="113"/>
    </row>
    <row r="80" ht="24" spans="1:10">
      <c r="A80" s="52">
        <v>51</v>
      </c>
      <c r="B80" s="32" t="s">
        <v>153</v>
      </c>
      <c r="C80" s="33">
        <v>46</v>
      </c>
      <c r="D80" s="34" t="s">
        <v>153</v>
      </c>
      <c r="E80" s="34" t="s">
        <v>80</v>
      </c>
      <c r="F80" s="35">
        <v>41.1</v>
      </c>
      <c r="G80" s="35">
        <v>46.6</v>
      </c>
      <c r="H80" s="33" t="s">
        <v>100</v>
      </c>
      <c r="I80" s="67">
        <v>77</v>
      </c>
      <c r="J80"/>
    </row>
    <row r="81" ht="24" spans="1:10">
      <c r="A81" s="52">
        <v>52</v>
      </c>
      <c r="B81" s="32" t="s">
        <v>154</v>
      </c>
      <c r="C81" s="33">
        <v>47</v>
      </c>
      <c r="D81" s="34" t="s">
        <v>154</v>
      </c>
      <c r="E81" s="34" t="s">
        <v>80</v>
      </c>
      <c r="F81" s="35">
        <v>36.4</v>
      </c>
      <c r="G81" s="35">
        <v>45.1</v>
      </c>
      <c r="H81" s="33" t="s">
        <v>155</v>
      </c>
      <c r="I81" s="67">
        <v>80</v>
      </c>
      <c r="J81"/>
    </row>
    <row r="82" ht="24" spans="1:10">
      <c r="A82" s="52">
        <v>53</v>
      </c>
      <c r="B82" s="32" t="s">
        <v>156</v>
      </c>
      <c r="C82" s="33">
        <v>48</v>
      </c>
      <c r="D82" s="34" t="s">
        <v>157</v>
      </c>
      <c r="E82" s="34" t="s">
        <v>80</v>
      </c>
      <c r="F82" s="35">
        <v>16.7</v>
      </c>
      <c r="G82" s="35">
        <v>18.5</v>
      </c>
      <c r="H82" s="33" t="s">
        <v>44</v>
      </c>
      <c r="I82" s="67">
        <v>195</v>
      </c>
      <c r="J82"/>
    </row>
    <row r="83" ht="13.5" spans="1:10">
      <c r="A83" s="52">
        <v>120</v>
      </c>
      <c r="B83" s="32" t="s">
        <v>158</v>
      </c>
      <c r="C83" s="33">
        <v>49</v>
      </c>
      <c r="D83" s="34" t="s">
        <v>159</v>
      </c>
      <c r="E83" s="34" t="s">
        <v>160</v>
      </c>
      <c r="F83" s="35">
        <v>32.4</v>
      </c>
      <c r="G83" s="35">
        <v>35.8</v>
      </c>
      <c r="H83" s="33" t="s">
        <v>161</v>
      </c>
      <c r="I83" s="67">
        <v>101</v>
      </c>
      <c r="J83"/>
    </row>
    <row r="84" s="1" customFormat="1" ht="13.5" spans="1:10">
      <c r="A84" s="52"/>
      <c r="B84" s="30" t="s">
        <v>162</v>
      </c>
      <c r="C84" s="103"/>
      <c r="D84" s="15" t="s">
        <v>162</v>
      </c>
      <c r="E84" s="15"/>
      <c r="F84" s="15"/>
      <c r="G84" s="15"/>
      <c r="H84" s="15"/>
      <c r="I84" s="15"/>
      <c r="J84"/>
    </row>
    <row r="85" s="1" customFormat="1" ht="13.5" spans="1:10">
      <c r="A85" s="52">
        <v>34</v>
      </c>
      <c r="B85" s="32" t="s">
        <v>163</v>
      </c>
      <c r="C85" s="53">
        <v>50</v>
      </c>
      <c r="D85" s="54" t="s">
        <v>163</v>
      </c>
      <c r="E85" s="54" t="s">
        <v>164</v>
      </c>
      <c r="F85" s="55">
        <v>19.2</v>
      </c>
      <c r="G85" s="55">
        <v>21.2</v>
      </c>
      <c r="H85" s="53" t="s">
        <v>161</v>
      </c>
      <c r="I85" s="69">
        <v>170</v>
      </c>
      <c r="J85"/>
    </row>
    <row r="86" s="1" customFormat="1" ht="13.5" spans="1:10">
      <c r="A86" s="52">
        <v>35</v>
      </c>
      <c r="B86" s="32" t="s">
        <v>165</v>
      </c>
      <c r="C86" s="53">
        <v>51</v>
      </c>
      <c r="D86" s="54" t="s">
        <v>166</v>
      </c>
      <c r="E86" s="54" t="s">
        <v>164</v>
      </c>
      <c r="F86" s="55">
        <v>6.7</v>
      </c>
      <c r="G86" s="55">
        <v>7.4</v>
      </c>
      <c r="H86" s="53" t="s">
        <v>161</v>
      </c>
      <c r="I86" s="69">
        <v>486</v>
      </c>
      <c r="J86"/>
    </row>
    <row r="87" spans="1:9">
      <c r="A87" s="53"/>
      <c r="B87" s="31" t="s">
        <v>167</v>
      </c>
      <c r="C87" s="19"/>
      <c r="D87" s="31" t="s">
        <v>167</v>
      </c>
      <c r="E87" s="31"/>
      <c r="F87" s="31"/>
      <c r="G87" s="31"/>
      <c r="H87" s="31"/>
      <c r="I87" s="31"/>
    </row>
    <row r="88" spans="1:9">
      <c r="A88" s="52">
        <v>126</v>
      </c>
      <c r="B88" s="32" t="s">
        <v>168</v>
      </c>
      <c r="C88" s="19"/>
      <c r="D88" s="31"/>
      <c r="E88" s="31"/>
      <c r="F88" s="31"/>
      <c r="G88" s="31"/>
      <c r="H88" s="31"/>
      <c r="I88" s="31"/>
    </row>
    <row r="89" spans="1:9">
      <c r="A89" s="120">
        <v>103</v>
      </c>
      <c r="B89" s="121" t="s">
        <v>169</v>
      </c>
      <c r="C89" s="33">
        <v>52</v>
      </c>
      <c r="D89" s="34" t="s">
        <v>170</v>
      </c>
      <c r="E89" s="34" t="s">
        <v>171</v>
      </c>
      <c r="F89" s="35">
        <v>33.1</v>
      </c>
      <c r="G89" s="35">
        <v>37.2</v>
      </c>
      <c r="H89" s="33" t="s">
        <v>100</v>
      </c>
      <c r="I89" s="67">
        <v>97</v>
      </c>
    </row>
    <row r="90" spans="1:9">
      <c r="A90" s="122"/>
      <c r="B90" s="123"/>
      <c r="C90" s="33">
        <v>79</v>
      </c>
      <c r="D90" s="34" t="s">
        <v>172</v>
      </c>
      <c r="E90" s="34" t="s">
        <v>171</v>
      </c>
      <c r="F90" s="35">
        <v>12.6</v>
      </c>
      <c r="G90" s="35">
        <v>14.2</v>
      </c>
      <c r="H90" s="33"/>
      <c r="I90" s="67"/>
    </row>
    <row r="91" spans="1:9">
      <c r="A91" s="52">
        <v>105</v>
      </c>
      <c r="B91" s="32" t="s">
        <v>173</v>
      </c>
      <c r="C91" s="33">
        <v>53</v>
      </c>
      <c r="D91" s="34" t="s">
        <v>174</v>
      </c>
      <c r="E91" s="34" t="s">
        <v>40</v>
      </c>
      <c r="F91" s="35">
        <v>42.7</v>
      </c>
      <c r="G91" s="35">
        <v>47.1</v>
      </c>
      <c r="H91" s="33" t="s">
        <v>161</v>
      </c>
      <c r="I91" s="67">
        <v>76</v>
      </c>
    </row>
    <row r="92" s="3" customFormat="1" ht="24" spans="1:9">
      <c r="A92" s="45">
        <v>180</v>
      </c>
      <c r="B92" s="44" t="s">
        <v>175</v>
      </c>
      <c r="C92" s="104">
        <v>71</v>
      </c>
      <c r="D92" s="105" t="s">
        <v>176</v>
      </c>
      <c r="E92" s="105" t="s">
        <v>40</v>
      </c>
      <c r="F92" s="106">
        <v>33.1</v>
      </c>
      <c r="G92" s="106">
        <v>36.6</v>
      </c>
      <c r="H92" s="104" t="s">
        <v>35</v>
      </c>
      <c r="I92" s="118">
        <v>98</v>
      </c>
    </row>
    <row r="93" ht="24" spans="1:9">
      <c r="A93" s="52">
        <v>107</v>
      </c>
      <c r="B93" s="32" t="s">
        <v>177</v>
      </c>
      <c r="C93" s="33">
        <v>72</v>
      </c>
      <c r="D93" s="34" t="s">
        <v>178</v>
      </c>
      <c r="E93" s="34" t="s">
        <v>40</v>
      </c>
      <c r="F93" s="35">
        <v>11.7</v>
      </c>
      <c r="G93" s="35">
        <v>12.9</v>
      </c>
      <c r="H93" s="33" t="s">
        <v>35</v>
      </c>
      <c r="I93" s="67">
        <v>279</v>
      </c>
    </row>
    <row r="94" spans="1:9">
      <c r="A94" s="52">
        <v>43</v>
      </c>
      <c r="B94" s="32" t="s">
        <v>179</v>
      </c>
      <c r="C94" s="33">
        <v>54</v>
      </c>
      <c r="D94" s="34" t="s">
        <v>179</v>
      </c>
      <c r="E94" s="34" t="s">
        <v>40</v>
      </c>
      <c r="F94" s="35">
        <v>3.7</v>
      </c>
      <c r="G94" s="35">
        <v>4.1</v>
      </c>
      <c r="H94" s="33" t="s">
        <v>35</v>
      </c>
      <c r="I94" s="67">
        <v>878</v>
      </c>
    </row>
    <row r="95" customHeight="1" spans="1:9">
      <c r="A95" s="124">
        <v>172</v>
      </c>
      <c r="B95" s="125" t="s">
        <v>180</v>
      </c>
      <c r="C95" s="33">
        <v>55</v>
      </c>
      <c r="D95" s="34" t="s">
        <v>180</v>
      </c>
      <c r="E95" s="34" t="s">
        <v>40</v>
      </c>
      <c r="F95" s="35">
        <v>3.6</v>
      </c>
      <c r="G95" s="35">
        <v>4</v>
      </c>
      <c r="H95" s="33" t="s">
        <v>35</v>
      </c>
      <c r="I95" s="67">
        <v>900</v>
      </c>
    </row>
    <row r="96" s="4" customFormat="1" ht="13.5" spans="1:11">
      <c r="A96" s="126"/>
      <c r="B96" s="127"/>
      <c r="C96" s="33">
        <v>78</v>
      </c>
      <c r="D96" s="34" t="s">
        <v>181</v>
      </c>
      <c r="E96" s="34" t="s">
        <v>40</v>
      </c>
      <c r="F96" s="35">
        <v>2.9</v>
      </c>
      <c r="G96" s="35">
        <v>3.2</v>
      </c>
      <c r="H96" s="33" t="s">
        <v>35</v>
      </c>
      <c r="I96" s="67">
        <v>1125</v>
      </c>
      <c r="J96" s="4"/>
      <c r="K96"/>
    </row>
    <row r="97" spans="1:9">
      <c r="A97" s="52">
        <v>140</v>
      </c>
      <c r="B97" s="32" t="s">
        <v>182</v>
      </c>
      <c r="C97" s="33">
        <v>56</v>
      </c>
      <c r="D97" s="34" t="s">
        <v>182</v>
      </c>
      <c r="E97" s="34" t="s">
        <v>40</v>
      </c>
      <c r="F97" s="35">
        <v>2.9</v>
      </c>
      <c r="G97" s="35">
        <v>3.2</v>
      </c>
      <c r="H97" s="33" t="s">
        <v>35</v>
      </c>
      <c r="I97" s="67">
        <v>1125</v>
      </c>
    </row>
    <row r="98" s="3" customFormat="1" spans="1:9">
      <c r="A98" s="45">
        <v>111</v>
      </c>
      <c r="B98" s="44" t="s">
        <v>183</v>
      </c>
      <c r="C98" s="48">
        <v>76</v>
      </c>
      <c r="D98" s="46" t="s">
        <v>184</v>
      </c>
      <c r="E98" s="46" t="s">
        <v>40</v>
      </c>
      <c r="F98" s="107">
        <v>43.2</v>
      </c>
      <c r="G98" s="107">
        <v>47.7</v>
      </c>
      <c r="H98" s="48" t="s">
        <v>35</v>
      </c>
      <c r="I98" s="119">
        <v>75</v>
      </c>
    </row>
    <row r="99" spans="1:9">
      <c r="A99" s="52">
        <v>154</v>
      </c>
      <c r="B99" s="32" t="s">
        <v>185</v>
      </c>
      <c r="C99" s="33">
        <v>58</v>
      </c>
      <c r="D99" s="34" t="s">
        <v>186</v>
      </c>
      <c r="E99" s="34" t="s">
        <v>40</v>
      </c>
      <c r="F99" s="35">
        <v>20</v>
      </c>
      <c r="G99" s="35">
        <v>22.2</v>
      </c>
      <c r="H99" s="33" t="s">
        <v>35</v>
      </c>
      <c r="I99" s="67">
        <v>162</v>
      </c>
    </row>
    <row r="100" ht="24" spans="1:9">
      <c r="A100" s="52">
        <v>121</v>
      </c>
      <c r="B100" s="32" t="s">
        <v>187</v>
      </c>
      <c r="C100" s="33">
        <v>59</v>
      </c>
      <c r="D100" s="34" t="s">
        <v>188</v>
      </c>
      <c r="E100" s="34" t="s">
        <v>40</v>
      </c>
      <c r="F100" s="35">
        <v>13.1</v>
      </c>
      <c r="G100" s="35">
        <v>14.5</v>
      </c>
      <c r="H100" s="33" t="s">
        <v>35</v>
      </c>
      <c r="I100" s="67">
        <v>248</v>
      </c>
    </row>
    <row r="101" ht="24" spans="1:9">
      <c r="A101" s="52">
        <v>40</v>
      </c>
      <c r="B101" s="32" t="s">
        <v>189</v>
      </c>
      <c r="C101" s="33">
        <v>74</v>
      </c>
      <c r="D101" s="34" t="s">
        <v>190</v>
      </c>
      <c r="E101" s="34" t="s">
        <v>40</v>
      </c>
      <c r="F101" s="35">
        <v>5.9</v>
      </c>
      <c r="G101" s="35">
        <v>6.5</v>
      </c>
      <c r="H101" s="33" t="s">
        <v>35</v>
      </c>
      <c r="I101" s="67">
        <v>554</v>
      </c>
    </row>
    <row r="102" spans="1:9">
      <c r="A102" s="52">
        <v>125</v>
      </c>
      <c r="B102" s="32" t="s">
        <v>191</v>
      </c>
      <c r="C102" s="33">
        <v>60</v>
      </c>
      <c r="D102" s="34" t="s">
        <v>192</v>
      </c>
      <c r="E102" s="34" t="s">
        <v>40</v>
      </c>
      <c r="F102" s="35">
        <v>5.9</v>
      </c>
      <c r="G102" s="35">
        <v>6.5</v>
      </c>
      <c r="H102" s="33" t="s">
        <v>35</v>
      </c>
      <c r="I102" s="67">
        <v>554</v>
      </c>
    </row>
    <row r="103" spans="1:9">
      <c r="A103" s="52">
        <v>102</v>
      </c>
      <c r="B103" s="32" t="s">
        <v>193</v>
      </c>
      <c r="C103" s="33">
        <v>73</v>
      </c>
      <c r="D103" s="34" t="s">
        <v>194</v>
      </c>
      <c r="E103" s="34" t="s">
        <v>40</v>
      </c>
      <c r="F103" s="35">
        <v>3.8</v>
      </c>
      <c r="G103" s="35">
        <v>4.2</v>
      </c>
      <c r="H103" s="33" t="s">
        <v>35</v>
      </c>
      <c r="I103" s="67">
        <v>857</v>
      </c>
    </row>
    <row r="104" ht="24" spans="1:9">
      <c r="A104" s="56">
        <v>97</v>
      </c>
      <c r="B104" s="57" t="s">
        <v>195</v>
      </c>
      <c r="C104" s="33" t="s">
        <v>196</v>
      </c>
      <c r="D104" s="34" t="s">
        <v>197</v>
      </c>
      <c r="E104" s="34" t="s">
        <v>40</v>
      </c>
      <c r="F104" s="35"/>
      <c r="G104" s="35">
        <v>36.4</v>
      </c>
      <c r="H104" s="33"/>
      <c r="I104" s="67"/>
    </row>
    <row r="105" ht="24" spans="1:9">
      <c r="A105" s="56">
        <v>98</v>
      </c>
      <c r="B105" s="57" t="s">
        <v>198</v>
      </c>
      <c r="C105" s="33" t="s">
        <v>199</v>
      </c>
      <c r="D105" s="34" t="s">
        <v>200</v>
      </c>
      <c r="E105" s="34" t="s">
        <v>40</v>
      </c>
      <c r="F105" s="35"/>
      <c r="G105" s="35">
        <v>24.2</v>
      </c>
      <c r="H105" s="33"/>
      <c r="I105" s="67"/>
    </row>
    <row r="106" spans="1:9">
      <c r="A106" s="56">
        <v>96</v>
      </c>
      <c r="B106" s="57" t="s">
        <v>201</v>
      </c>
      <c r="C106" s="33">
        <v>81</v>
      </c>
      <c r="D106" s="34" t="s">
        <v>201</v>
      </c>
      <c r="E106" s="34" t="s">
        <v>40</v>
      </c>
      <c r="F106" s="35">
        <v>16.4</v>
      </c>
      <c r="G106" s="35">
        <v>18.1</v>
      </c>
      <c r="H106" s="33" t="s">
        <v>35</v>
      </c>
      <c r="I106" s="67">
        <v>199</v>
      </c>
    </row>
    <row r="107" spans="1:9">
      <c r="A107" s="56">
        <v>152</v>
      </c>
      <c r="B107" s="57" t="s">
        <v>202</v>
      </c>
      <c r="C107" s="33">
        <v>80</v>
      </c>
      <c r="D107" s="34" t="s">
        <v>203</v>
      </c>
      <c r="E107" s="34" t="s">
        <v>40</v>
      </c>
      <c r="F107" s="35">
        <v>1.5</v>
      </c>
      <c r="G107" s="35">
        <v>1.7</v>
      </c>
      <c r="H107" s="33"/>
      <c r="I107" s="67"/>
    </row>
    <row r="108" spans="1:9">
      <c r="A108" s="45">
        <v>99</v>
      </c>
      <c r="B108" s="44" t="s">
        <v>204</v>
      </c>
      <c r="C108" s="33">
        <v>75</v>
      </c>
      <c r="D108" s="34" t="s">
        <v>205</v>
      </c>
      <c r="E108" s="34" t="s">
        <v>40</v>
      </c>
      <c r="F108" s="35">
        <v>3.8</v>
      </c>
      <c r="G108" s="35">
        <v>4.2</v>
      </c>
      <c r="H108" s="33" t="s">
        <v>35</v>
      </c>
      <c r="I108" s="67">
        <v>857</v>
      </c>
    </row>
    <row r="109" ht="48" spans="1:9">
      <c r="A109" s="52">
        <v>131</v>
      </c>
      <c r="B109" s="32" t="s">
        <v>206</v>
      </c>
      <c r="C109" s="33">
        <v>61</v>
      </c>
      <c r="D109" s="34" t="s">
        <v>207</v>
      </c>
      <c r="E109" s="34" t="s">
        <v>40</v>
      </c>
      <c r="F109" s="35">
        <v>9.4</v>
      </c>
      <c r="G109" s="35">
        <v>10.3</v>
      </c>
      <c r="H109" s="33" t="s">
        <v>35</v>
      </c>
      <c r="I109" s="67">
        <v>350</v>
      </c>
    </row>
    <row r="110" spans="1:9">
      <c r="A110" s="52">
        <v>169</v>
      </c>
      <c r="B110" s="32" t="s">
        <v>208</v>
      </c>
      <c r="C110" s="33">
        <v>62</v>
      </c>
      <c r="D110" s="34" t="s">
        <v>208</v>
      </c>
      <c r="E110" s="34" t="s">
        <v>40</v>
      </c>
      <c r="F110" s="35">
        <v>0.9</v>
      </c>
      <c r="G110" s="35">
        <v>1</v>
      </c>
      <c r="H110" s="33" t="s">
        <v>35</v>
      </c>
      <c r="I110" s="67">
        <v>3600</v>
      </c>
    </row>
    <row r="112" spans="1:9">
      <c r="A112" s="1" t="s">
        <v>209</v>
      </c>
      <c r="C112" s="1"/>
      <c r="D112" s="108"/>
      <c r="E112" s="1"/>
      <c r="F112" s="1"/>
      <c r="G112" s="1"/>
      <c r="H112" s="1"/>
      <c r="I112" s="1"/>
    </row>
    <row r="113" s="3" customFormat="1" spans="1:9">
      <c r="A113" s="109"/>
      <c r="B113" s="109"/>
      <c r="C113" s="109"/>
      <c r="D113" s="110"/>
      <c r="E113" s="109"/>
      <c r="F113" s="109"/>
      <c r="G113" s="109"/>
      <c r="H113" s="109"/>
      <c r="I113" s="109"/>
    </row>
    <row r="114" s="3" customFormat="1" spans="1:4">
      <c r="A114" s="109"/>
      <c r="B114" s="109"/>
      <c r="D114" s="110"/>
    </row>
  </sheetData>
  <autoFilter xmlns:etc="http://www.wps.cn/officeDocument/2017/etCustomData" ref="A20:CN112" etc:filterBottomFollowUsedRange="0">
    <extLst/>
  </autoFilter>
  <mergeCells count="50">
    <mergeCell ref="A1:I1"/>
    <mergeCell ref="A2:I2"/>
    <mergeCell ref="A3:I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A112:I112"/>
    <mergeCell ref="A113:I113"/>
    <mergeCell ref="A65:A66"/>
    <mergeCell ref="A78:A79"/>
    <mergeCell ref="A89:A90"/>
    <mergeCell ref="A95:A96"/>
    <mergeCell ref="B65:B66"/>
    <mergeCell ref="B78:B79"/>
    <mergeCell ref="B89:B90"/>
    <mergeCell ref="B95:B96"/>
    <mergeCell ref="D63:D64"/>
    <mergeCell ref="D69:D70"/>
    <mergeCell ref="D77:D78"/>
    <mergeCell ref="E63:E64"/>
    <mergeCell ref="E69:E70"/>
    <mergeCell ref="E77:E78"/>
    <mergeCell ref="F63:F64"/>
    <mergeCell ref="F69:F70"/>
    <mergeCell ref="F77:F78"/>
    <mergeCell ref="G63:G64"/>
    <mergeCell ref="G69:G70"/>
    <mergeCell ref="G77:G78"/>
    <mergeCell ref="H63:H64"/>
    <mergeCell ref="H69:H70"/>
    <mergeCell ref="H77:H78"/>
    <mergeCell ref="I63:I64"/>
    <mergeCell ref="I69:I70"/>
    <mergeCell ref="I77:I78"/>
    <mergeCell ref="J69:J70"/>
    <mergeCell ref="J77:J79"/>
    <mergeCell ref="G4:I19"/>
  </mergeCells>
  <conditionalFormatting sqref="A38">
    <cfRule type="duplicateValues" dxfId="0" priority="4"/>
  </conditionalFormatting>
  <conditionalFormatting sqref="A64">
    <cfRule type="duplicateValues" dxfId="0" priority="3"/>
  </conditionalFormatting>
  <conditionalFormatting sqref="A98">
    <cfRule type="duplicateValues" dxfId="0" priority="2"/>
  </conditionalFormatting>
  <conditionalFormatting sqref="A34:A35">
    <cfRule type="duplicateValues" dxfId="0" priority="5"/>
  </conditionalFormatting>
  <conditionalFormatting sqref="A21:A33 A36:A37 A39:A63 A80:A89 A91:A95 A67:A78 A65 A99:A110 A97">
    <cfRule type="duplicateValues" dxfId="0" priority="6"/>
  </conditionalFormatting>
  <printOptions horizontalCentered="1"/>
  <pageMargins left="0.0791666666666667" right="0.0791666666666667" top="0.396527777777778" bottom="0.396527777777778" header="0.197916666666667" footer="0.197916666666667"/>
  <pageSetup paperSize="9" orientation="portrait"/>
  <headerFooter>
    <oddFooter>&amp;R&amp;D &amp;T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N109"/>
  <sheetViews>
    <sheetView zoomScale="130" zoomScaleNormal="130" topLeftCell="A87" workbookViewId="0">
      <selection activeCell="A95" sqref="$A95:$XFD95"/>
    </sheetView>
  </sheetViews>
  <sheetFormatPr defaultColWidth="9" defaultRowHeight="12"/>
  <cols>
    <col min="1" max="1" width="10.625" style="1" customWidth="1"/>
    <col min="2" max="2" width="17.4" style="1" customWidth="1"/>
    <col min="3" max="3" width="6.875" style="4" customWidth="1"/>
    <col min="4" max="4" width="19.875" style="5" customWidth="1"/>
    <col min="5" max="5" width="10.75" style="4" customWidth="1"/>
    <col min="6" max="6" width="8.375" style="4" customWidth="1"/>
    <col min="7" max="7" width="9" style="4" customWidth="1"/>
    <col min="8" max="8" width="8.5" style="4" customWidth="1"/>
    <col min="9" max="9" width="8.36666666666667" style="4" customWidth="1"/>
    <col min="10" max="10" width="5.85833333333333" style="4" customWidth="1"/>
    <col min="11" max="91" width="9" style="4"/>
    <col min="92" max="92" width="59.625" style="4" customWidth="1"/>
    <col min="93" max="16384" width="9" style="4"/>
  </cols>
  <sheetData>
    <row r="1" ht="25.5" spans="1:9">
      <c r="A1" s="6" t="s">
        <v>0</v>
      </c>
      <c r="B1" s="6"/>
      <c r="C1" s="7"/>
      <c r="D1" s="8"/>
      <c r="E1" s="7"/>
      <c r="F1" s="7"/>
      <c r="G1" s="7"/>
      <c r="H1" s="7"/>
      <c r="I1" s="7"/>
    </row>
    <row r="2" ht="20.25" spans="1:9">
      <c r="A2" s="9" t="s">
        <v>1</v>
      </c>
      <c r="B2" s="9"/>
      <c r="C2" s="10"/>
      <c r="D2" s="11"/>
      <c r="E2" s="10"/>
      <c r="F2" s="10"/>
      <c r="G2" s="10"/>
      <c r="H2" s="10"/>
      <c r="I2" s="10"/>
    </row>
    <row r="3" spans="1:9">
      <c r="A3" s="12" t="s">
        <v>2</v>
      </c>
      <c r="B3" s="12"/>
      <c r="C3" s="13"/>
      <c r="D3" s="14"/>
      <c r="E3" s="13"/>
      <c r="F3" s="13"/>
      <c r="G3" s="13"/>
      <c r="H3" s="13"/>
      <c r="I3" s="13"/>
    </row>
    <row r="4" spans="1:9">
      <c r="A4" s="15" t="s">
        <v>3</v>
      </c>
      <c r="B4" s="16" t="s">
        <v>4</v>
      </c>
      <c r="C4" s="17"/>
      <c r="D4" s="18"/>
      <c r="E4" s="17"/>
      <c r="F4" s="17"/>
      <c r="G4" s="19"/>
      <c r="H4" s="19"/>
      <c r="I4" s="19"/>
    </row>
    <row r="5" spans="1:9">
      <c r="A5" s="15" t="s">
        <v>5</v>
      </c>
      <c r="B5" s="12" t="s">
        <v>6</v>
      </c>
      <c r="C5" s="13"/>
      <c r="D5" s="14"/>
      <c r="E5" s="13"/>
      <c r="F5" s="13"/>
      <c r="G5" s="19"/>
      <c r="H5" s="19"/>
      <c r="I5" s="19"/>
    </row>
    <row r="6" spans="1:9">
      <c r="A6" s="15" t="s">
        <v>7</v>
      </c>
      <c r="B6" s="16" t="s">
        <v>8</v>
      </c>
      <c r="C6" s="17"/>
      <c r="D6" s="18"/>
      <c r="E6" s="17"/>
      <c r="F6" s="17"/>
      <c r="G6" s="19"/>
      <c r="H6" s="19"/>
      <c r="I6" s="19"/>
    </row>
    <row r="7" ht="26" customHeight="1" spans="1:92">
      <c r="A7" s="15" t="s">
        <v>9</v>
      </c>
      <c r="B7" s="20" t="s">
        <v>10</v>
      </c>
      <c r="C7" s="14"/>
      <c r="D7" s="14"/>
      <c r="E7" s="14"/>
      <c r="F7" s="14"/>
      <c r="G7" s="19"/>
      <c r="H7" s="19"/>
      <c r="I7" s="19"/>
      <c r="CN7" s="5"/>
    </row>
    <row r="8" spans="1:92">
      <c r="A8" s="15" t="s">
        <v>11</v>
      </c>
      <c r="B8" s="20"/>
      <c r="C8" s="14"/>
      <c r="D8" s="14"/>
      <c r="E8" s="14"/>
      <c r="F8" s="14"/>
      <c r="G8" s="19"/>
      <c r="H8" s="19"/>
      <c r="I8" s="19"/>
      <c r="CN8" s="5"/>
    </row>
    <row r="9" spans="1:9">
      <c r="A9" s="15" t="s">
        <v>12</v>
      </c>
      <c r="B9" s="12">
        <v>2512</v>
      </c>
      <c r="C9" s="13"/>
      <c r="D9" s="14"/>
      <c r="E9" s="13"/>
      <c r="F9" s="13"/>
      <c r="G9" s="19"/>
      <c r="H9" s="19"/>
      <c r="I9" s="19"/>
    </row>
    <row r="10" spans="1:9">
      <c r="A10" s="21" t="s">
        <v>13</v>
      </c>
      <c r="B10" s="12">
        <f>SUM(G38:G42,G44:G52,G55:G82,)</f>
        <v>1085.7</v>
      </c>
      <c r="C10" s="13"/>
      <c r="D10" s="14"/>
      <c r="E10" s="13"/>
      <c r="F10" s="13"/>
      <c r="G10" s="19"/>
      <c r="H10" s="19"/>
      <c r="I10" s="19"/>
    </row>
    <row r="11" ht="24" spans="1:9">
      <c r="A11" s="21" t="s">
        <v>14</v>
      </c>
      <c r="B11" s="22">
        <f>(10.5*60*60)/B10</f>
        <v>34.816247582205</v>
      </c>
      <c r="C11" s="23"/>
      <c r="D11" s="24"/>
      <c r="E11" s="23"/>
      <c r="F11" s="23"/>
      <c r="G11" s="19"/>
      <c r="H11" s="19"/>
      <c r="I11" s="19"/>
    </row>
    <row r="12" spans="1:9">
      <c r="A12" s="15" t="s">
        <v>15</v>
      </c>
      <c r="B12" s="12"/>
      <c r="C12" s="13"/>
      <c r="D12" s="14"/>
      <c r="E12" s="13"/>
      <c r="F12" s="13"/>
      <c r="G12" s="19"/>
      <c r="H12" s="19"/>
      <c r="I12" s="19"/>
    </row>
    <row r="13" spans="1:9">
      <c r="A13" s="15" t="s">
        <v>16</v>
      </c>
      <c r="B13" s="25"/>
      <c r="C13" s="26"/>
      <c r="D13" s="27"/>
      <c r="E13" s="26"/>
      <c r="F13" s="26"/>
      <c r="G13" s="19"/>
      <c r="H13" s="19"/>
      <c r="I13" s="19"/>
    </row>
    <row r="14" spans="1:9">
      <c r="A14" s="21" t="s">
        <v>17</v>
      </c>
      <c r="B14" s="12"/>
      <c r="C14" s="13"/>
      <c r="D14" s="14"/>
      <c r="E14" s="13"/>
      <c r="F14" s="13"/>
      <c r="G14" s="19"/>
      <c r="H14" s="19"/>
      <c r="I14" s="19"/>
    </row>
    <row r="15" spans="1:9">
      <c r="A15" s="21" t="s">
        <v>18</v>
      </c>
      <c r="B15" s="12"/>
      <c r="C15" s="13"/>
      <c r="D15" s="14"/>
      <c r="E15" s="13"/>
      <c r="F15" s="13"/>
      <c r="G15" s="19"/>
      <c r="H15" s="19"/>
      <c r="I15" s="19"/>
    </row>
    <row r="16" spans="1:9">
      <c r="A16" s="21" t="s">
        <v>19</v>
      </c>
      <c r="B16" s="12"/>
      <c r="C16" s="13"/>
      <c r="D16" s="14"/>
      <c r="E16" s="13"/>
      <c r="F16" s="13"/>
      <c r="G16" s="19"/>
      <c r="H16" s="19"/>
      <c r="I16" s="19"/>
    </row>
    <row r="17" spans="1:9">
      <c r="A17" s="21" t="s">
        <v>20</v>
      </c>
      <c r="B17" s="12"/>
      <c r="C17" s="13"/>
      <c r="D17" s="14"/>
      <c r="E17" s="13"/>
      <c r="F17" s="13"/>
      <c r="G17" s="19"/>
      <c r="H17" s="19"/>
      <c r="I17" s="19"/>
    </row>
    <row r="18" spans="1:92">
      <c r="A18" s="15" t="s">
        <v>21</v>
      </c>
      <c r="B18" s="20"/>
      <c r="C18" s="14"/>
      <c r="D18" s="14"/>
      <c r="E18" s="14"/>
      <c r="F18" s="14"/>
      <c r="G18" s="19"/>
      <c r="H18" s="19"/>
      <c r="I18" s="19"/>
      <c r="CN18" s="5"/>
    </row>
    <row r="19" spans="1:9">
      <c r="A19" s="15" t="s">
        <v>22</v>
      </c>
      <c r="B19" s="12" t="s">
        <v>23</v>
      </c>
      <c r="C19" s="13"/>
      <c r="D19" s="14"/>
      <c r="E19" s="13"/>
      <c r="F19" s="13"/>
      <c r="G19" s="19"/>
      <c r="H19" s="19"/>
      <c r="I19" s="19"/>
    </row>
    <row r="20" spans="1:9">
      <c r="A20" s="28" t="s">
        <v>24</v>
      </c>
      <c r="B20" s="28" t="s">
        <v>25</v>
      </c>
      <c r="C20" s="28" t="s">
        <v>24</v>
      </c>
      <c r="D20" s="28" t="s">
        <v>26</v>
      </c>
      <c r="E20" s="28" t="s">
        <v>27</v>
      </c>
      <c r="F20" s="28" t="s">
        <v>28</v>
      </c>
      <c r="G20" s="28" t="s">
        <v>29</v>
      </c>
      <c r="H20" s="28" t="s">
        <v>30</v>
      </c>
      <c r="I20" s="28" t="s">
        <v>31</v>
      </c>
    </row>
    <row r="21" customFormat="1" ht="13.5" spans="1:9">
      <c r="A21" s="29"/>
      <c r="B21" s="30" t="s">
        <v>32</v>
      </c>
      <c r="D21" s="31" t="s">
        <v>32</v>
      </c>
      <c r="E21" s="31"/>
      <c r="F21" s="31"/>
      <c r="G21" s="31"/>
      <c r="H21" s="31"/>
      <c r="I21" s="31"/>
    </row>
    <row r="22" customFormat="1" ht="13.5" spans="1:11">
      <c r="A22" s="29"/>
      <c r="B22" s="32" t="s">
        <v>33</v>
      </c>
      <c r="C22" s="33">
        <v>1</v>
      </c>
      <c r="D22" s="34" t="s">
        <v>33</v>
      </c>
      <c r="E22" s="34" t="s">
        <v>34</v>
      </c>
      <c r="F22" s="35">
        <v>6.6</v>
      </c>
      <c r="G22" s="35">
        <v>7.4</v>
      </c>
      <c r="H22" s="33" t="s">
        <v>35</v>
      </c>
      <c r="I22" s="67">
        <v>486</v>
      </c>
      <c r="J22"/>
      <c r="K22">
        <f>VLOOKUP(D22,'[1]17Z0006'!$B:$H,7,0)</f>
        <v>0.0229</v>
      </c>
    </row>
    <row r="23" customFormat="1" ht="24" spans="1:11">
      <c r="A23" s="29"/>
      <c r="B23" s="32" t="s">
        <v>36</v>
      </c>
      <c r="C23" s="33">
        <v>2</v>
      </c>
      <c r="D23" s="34" t="s">
        <v>36</v>
      </c>
      <c r="E23" s="34" t="s">
        <v>34</v>
      </c>
      <c r="F23" s="35">
        <v>0.2</v>
      </c>
      <c r="G23" s="35">
        <v>0.2</v>
      </c>
      <c r="H23" s="33" t="s">
        <v>37</v>
      </c>
      <c r="I23" s="67">
        <v>18000</v>
      </c>
      <c r="K23">
        <f>VLOOKUP(D23,'[1]17Z0006'!$B:$H,7,0)</f>
        <v>0.0006</v>
      </c>
    </row>
    <row r="24" s="1" customFormat="1" ht="13.5" spans="1:11">
      <c r="A24" s="36">
        <v>155</v>
      </c>
      <c r="B24" s="37" t="s">
        <v>38</v>
      </c>
      <c r="C24" s="33">
        <v>3</v>
      </c>
      <c r="D24" s="34" t="s">
        <v>39</v>
      </c>
      <c r="E24" s="34" t="s">
        <v>40</v>
      </c>
      <c r="F24" s="35">
        <v>23.1</v>
      </c>
      <c r="G24" s="35">
        <v>25.6</v>
      </c>
      <c r="H24" s="33" t="s">
        <v>41</v>
      </c>
      <c r="I24" s="67">
        <v>141</v>
      </c>
      <c r="J24"/>
      <c r="K24">
        <f>VLOOKUP(D24,'[1]17Z0006'!$B:$H,7,0)</f>
        <v>0.0845</v>
      </c>
    </row>
    <row r="25" s="1" customFormat="1" ht="13.5" spans="1:11">
      <c r="A25" s="38">
        <v>2</v>
      </c>
      <c r="B25" s="39" t="s">
        <v>42</v>
      </c>
      <c r="C25" s="33">
        <v>6</v>
      </c>
      <c r="D25" s="34" t="s">
        <v>43</v>
      </c>
      <c r="E25" s="34" t="s">
        <v>40</v>
      </c>
      <c r="F25" s="35">
        <v>28.6</v>
      </c>
      <c r="G25" s="35">
        <v>31.6</v>
      </c>
      <c r="H25" s="33" t="s">
        <v>44</v>
      </c>
      <c r="I25" s="67">
        <v>114</v>
      </c>
      <c r="J25"/>
      <c r="K25">
        <f>VLOOKUP(D25,'[1]17Z0006'!$B:$H,7,0)</f>
        <v>0.1201</v>
      </c>
    </row>
    <row r="26" s="1" customFormat="1" ht="13.5" spans="1:11">
      <c r="A26" s="38">
        <v>5</v>
      </c>
      <c r="B26" s="39" t="s">
        <v>45</v>
      </c>
      <c r="C26" s="33">
        <v>9</v>
      </c>
      <c r="D26" s="34" t="s">
        <v>46</v>
      </c>
      <c r="E26" s="34" t="s">
        <v>40</v>
      </c>
      <c r="F26" s="35">
        <v>15.5</v>
      </c>
      <c r="G26" s="35">
        <v>17.2</v>
      </c>
      <c r="H26" s="33" t="s">
        <v>37</v>
      </c>
      <c r="I26" s="67">
        <v>209</v>
      </c>
      <c r="J26"/>
      <c r="K26">
        <f>VLOOKUP(D26,'[1]17Z0006'!$B:$H,7,0)</f>
        <v>0.055</v>
      </c>
    </row>
    <row r="27" s="1" customFormat="1" ht="24" spans="1:11">
      <c r="A27" s="38">
        <v>202</v>
      </c>
      <c r="B27" s="39" t="s">
        <v>47</v>
      </c>
      <c r="C27" s="33">
        <v>4</v>
      </c>
      <c r="D27" s="34" t="s">
        <v>48</v>
      </c>
      <c r="E27" s="34" t="s">
        <v>49</v>
      </c>
      <c r="F27" s="35">
        <v>0.5</v>
      </c>
      <c r="G27" s="35">
        <v>0.6</v>
      </c>
      <c r="H27" s="33" t="s">
        <v>41</v>
      </c>
      <c r="I27" s="67">
        <v>6000</v>
      </c>
      <c r="J27"/>
      <c r="K27">
        <f>VLOOKUP(D27,'[1]17Z0006'!$B:$H,7,0)</f>
        <v>0.002</v>
      </c>
    </row>
    <row r="28" s="1" customFormat="1" ht="24" spans="1:11">
      <c r="A28" s="38">
        <v>203</v>
      </c>
      <c r="B28" s="39" t="s">
        <v>50</v>
      </c>
      <c r="C28" s="33">
        <v>7</v>
      </c>
      <c r="D28" s="34" t="s">
        <v>51</v>
      </c>
      <c r="E28" s="34" t="s">
        <v>52</v>
      </c>
      <c r="F28" s="35">
        <v>1</v>
      </c>
      <c r="G28" s="35">
        <v>1</v>
      </c>
      <c r="H28" s="33" t="s">
        <v>44</v>
      </c>
      <c r="I28" s="67">
        <v>3600</v>
      </c>
      <c r="J28"/>
      <c r="K28">
        <f>VLOOKUP(D28,'[1]17Z0006'!$B:$H,7,0)</f>
        <v>0.0038</v>
      </c>
    </row>
    <row r="29" s="1" customFormat="1" ht="13.5" spans="1:11">
      <c r="A29" s="38">
        <v>204</v>
      </c>
      <c r="B29" s="39" t="s">
        <v>53</v>
      </c>
      <c r="C29" s="33">
        <v>10</v>
      </c>
      <c r="D29" s="34" t="s">
        <v>54</v>
      </c>
      <c r="E29" s="34" t="s">
        <v>40</v>
      </c>
      <c r="F29" s="35">
        <v>0.4</v>
      </c>
      <c r="G29" s="35">
        <v>0.5</v>
      </c>
      <c r="H29" s="33" t="s">
        <v>37</v>
      </c>
      <c r="I29" s="67">
        <v>7200</v>
      </c>
      <c r="J29"/>
      <c r="K29">
        <f>VLOOKUP(D29,'[1]17Z0006'!$B:$H,7,0)</f>
        <v>0.0016</v>
      </c>
    </row>
    <row r="30" s="1" customFormat="1" ht="13.5" spans="1:11">
      <c r="A30" s="38">
        <v>3</v>
      </c>
      <c r="B30" s="39" t="s">
        <v>55</v>
      </c>
      <c r="C30" s="33">
        <v>5</v>
      </c>
      <c r="D30" s="34" t="s">
        <v>56</v>
      </c>
      <c r="E30" s="34" t="s">
        <v>49</v>
      </c>
      <c r="F30" s="35">
        <v>0.4</v>
      </c>
      <c r="G30" s="35">
        <v>0.5</v>
      </c>
      <c r="H30" s="33" t="s">
        <v>41</v>
      </c>
      <c r="I30" s="67">
        <v>7200</v>
      </c>
      <c r="J30"/>
      <c r="K30">
        <f>VLOOKUP(D30,'[1]17Z0006'!$B:$H,7,0)</f>
        <v>0.0017</v>
      </c>
    </row>
    <row r="31" s="1" customFormat="1" ht="24" spans="1:11">
      <c r="A31" s="38">
        <v>6</v>
      </c>
      <c r="B31" s="39" t="s">
        <v>57</v>
      </c>
      <c r="C31" s="33">
        <v>8</v>
      </c>
      <c r="D31" s="34" t="s">
        <v>58</v>
      </c>
      <c r="E31" s="34" t="s">
        <v>59</v>
      </c>
      <c r="F31" s="35">
        <v>0.5</v>
      </c>
      <c r="G31" s="35">
        <v>0.5</v>
      </c>
      <c r="H31" s="33" t="s">
        <v>44</v>
      </c>
      <c r="I31" s="67">
        <v>7200</v>
      </c>
      <c r="J31"/>
      <c r="K31">
        <f>VLOOKUP(D31,'[1]17Z0006'!$B:$H,7,0)</f>
        <v>0.0019</v>
      </c>
    </row>
    <row r="32" s="1" customFormat="1" ht="24" spans="1:11">
      <c r="A32" s="40">
        <v>1</v>
      </c>
      <c r="B32" s="41" t="s">
        <v>60</v>
      </c>
      <c r="C32" s="40">
        <v>63</v>
      </c>
      <c r="D32" s="42" t="s">
        <v>61</v>
      </c>
      <c r="E32" s="43" t="s">
        <v>40</v>
      </c>
      <c r="F32" s="43">
        <v>0.2</v>
      </c>
      <c r="G32" s="43">
        <v>0.2</v>
      </c>
      <c r="H32" s="43" t="s">
        <v>37</v>
      </c>
      <c r="I32" s="43"/>
      <c r="J32"/>
      <c r="K32">
        <v>0.0006</v>
      </c>
    </row>
    <row r="33" s="1" customFormat="1" ht="13" customHeight="1" spans="1:11">
      <c r="A33" s="38">
        <v>170</v>
      </c>
      <c r="B33" s="39" t="s">
        <v>62</v>
      </c>
      <c r="C33" s="33">
        <v>11</v>
      </c>
      <c r="D33" s="34" t="s">
        <v>63</v>
      </c>
      <c r="E33" s="34" t="s">
        <v>40</v>
      </c>
      <c r="F33" s="35">
        <v>22</v>
      </c>
      <c r="G33" s="35">
        <v>24.3</v>
      </c>
      <c r="H33" s="33" t="s">
        <v>41</v>
      </c>
      <c r="I33" s="67">
        <v>148</v>
      </c>
      <c r="J33"/>
      <c r="K33">
        <f>VLOOKUP(D33,'[1]17Z0006'!$B:$H,7,0)</f>
        <v>0.0802</v>
      </c>
    </row>
    <row r="34" s="2" customFormat="1" ht="13" customHeight="1" spans="1:11">
      <c r="A34" s="38">
        <v>15</v>
      </c>
      <c r="B34" s="44" t="s">
        <v>64</v>
      </c>
      <c r="C34" s="45"/>
      <c r="D34" s="46" t="s">
        <v>64</v>
      </c>
      <c r="E34" s="46" t="s">
        <v>65</v>
      </c>
      <c r="F34" s="47">
        <v>20.8</v>
      </c>
      <c r="G34" s="47">
        <v>23.4</v>
      </c>
      <c r="H34" s="48" t="s">
        <v>37</v>
      </c>
      <c r="I34" s="68">
        <v>154</v>
      </c>
      <c r="J34"/>
      <c r="K34">
        <f>VLOOKUP(D34,'[1]17Z0006'!$B:$H,7,0)</f>
        <v>0.0749</v>
      </c>
    </row>
    <row r="35" s="2" customFormat="1" ht="13" customHeight="1" spans="1:11">
      <c r="A35" s="38">
        <v>16</v>
      </c>
      <c r="B35" s="39" t="s">
        <v>66</v>
      </c>
      <c r="C35" s="45">
        <v>13</v>
      </c>
      <c r="D35" s="46" t="s">
        <v>67</v>
      </c>
      <c r="E35" s="46" t="s">
        <v>65</v>
      </c>
      <c r="F35" s="47">
        <v>11.1</v>
      </c>
      <c r="G35" s="47">
        <v>12.5</v>
      </c>
      <c r="H35" s="48" t="s">
        <v>37</v>
      </c>
      <c r="I35" s="68">
        <v>288</v>
      </c>
      <c r="J35"/>
      <c r="K35">
        <f>VLOOKUP(D35,'[1]17Z0006'!$B:$H,7,0)</f>
        <v>0.04</v>
      </c>
    </row>
    <row r="36" s="1" customFormat="1" ht="13" customHeight="1" spans="1:11">
      <c r="A36" s="38">
        <v>11</v>
      </c>
      <c r="B36" s="39" t="s">
        <v>68</v>
      </c>
      <c r="C36" s="49"/>
      <c r="D36" s="42"/>
      <c r="E36" s="43"/>
      <c r="F36" s="43"/>
      <c r="G36" s="43"/>
      <c r="H36" s="43"/>
      <c r="I36" s="43"/>
      <c r="J36"/>
      <c r="K36"/>
    </row>
    <row r="37" ht="13.5" spans="1:11">
      <c r="A37" s="50"/>
      <c r="B37" s="30" t="s">
        <v>69</v>
      </c>
      <c r="C37" s="19"/>
      <c r="D37" s="51" t="s">
        <v>69</v>
      </c>
      <c r="E37" s="31"/>
      <c r="F37" s="31"/>
      <c r="G37" s="31">
        <f>SUM(G38:G42)</f>
        <v>150.6</v>
      </c>
      <c r="H37" s="31"/>
      <c r="I37" s="31"/>
      <c r="J37"/>
      <c r="K37">
        <f>VLOOKUP(D37,'[1]17Z0006'!$B:$H,7,0)</f>
        <v>0</v>
      </c>
    </row>
    <row r="38" s="1" customFormat="1" ht="24" spans="1:11">
      <c r="A38" s="52">
        <v>68</v>
      </c>
      <c r="B38" s="32" t="s">
        <v>70</v>
      </c>
      <c r="C38" s="53">
        <v>64</v>
      </c>
      <c r="D38" s="54" t="s">
        <v>71</v>
      </c>
      <c r="E38" s="54" t="s">
        <v>65</v>
      </c>
      <c r="F38" s="55">
        <v>22.2</v>
      </c>
      <c r="G38" s="55">
        <v>25</v>
      </c>
      <c r="H38" s="53" t="s">
        <v>72</v>
      </c>
      <c r="I38" s="69">
        <v>144</v>
      </c>
      <c r="J38"/>
      <c r="K38">
        <f>VLOOKUP(D38,'[1]17Z0006'!$B:$H,7,0)</f>
        <v>0.09</v>
      </c>
    </row>
    <row r="39" ht="24" spans="1:11">
      <c r="A39" s="52">
        <v>20</v>
      </c>
      <c r="B39" s="32" t="s">
        <v>73</v>
      </c>
      <c r="C39" s="33">
        <v>14</v>
      </c>
      <c r="D39" s="34" t="s">
        <v>73</v>
      </c>
      <c r="E39" s="34" t="s">
        <v>74</v>
      </c>
      <c r="F39" s="35">
        <v>32</v>
      </c>
      <c r="G39" s="35">
        <v>35.9</v>
      </c>
      <c r="H39" s="33" t="s">
        <v>75</v>
      </c>
      <c r="I39" s="67">
        <v>100</v>
      </c>
      <c r="J39"/>
      <c r="K39">
        <f>VLOOKUP(D39,'[1]17Z0006'!$B:$H,7,0)</f>
        <v>0.1508</v>
      </c>
    </row>
    <row r="40" ht="24" spans="1:11">
      <c r="A40" s="52">
        <v>21</v>
      </c>
      <c r="B40" s="32" t="s">
        <v>76</v>
      </c>
      <c r="C40" s="33">
        <v>15</v>
      </c>
      <c r="D40" s="34" t="s">
        <v>76</v>
      </c>
      <c r="E40" s="34" t="s">
        <v>77</v>
      </c>
      <c r="F40" s="35">
        <v>24.1</v>
      </c>
      <c r="G40" s="35">
        <v>27.1</v>
      </c>
      <c r="H40" s="33" t="s">
        <v>75</v>
      </c>
      <c r="I40" s="67">
        <v>133</v>
      </c>
      <c r="J40"/>
      <c r="K40">
        <f>VLOOKUP(D40,'[1]17Z0006'!$B:$H,7,0)</f>
        <v>0.1138</v>
      </c>
    </row>
    <row r="41" ht="13.5" spans="1:11">
      <c r="A41" s="52">
        <v>22</v>
      </c>
      <c r="B41" s="32" t="s">
        <v>78</v>
      </c>
      <c r="C41" s="33">
        <v>16</v>
      </c>
      <c r="D41" s="34" t="s">
        <v>79</v>
      </c>
      <c r="E41" s="34" t="s">
        <v>80</v>
      </c>
      <c r="F41" s="35">
        <v>31.1</v>
      </c>
      <c r="G41" s="35">
        <v>35</v>
      </c>
      <c r="H41" s="33" t="s">
        <v>81</v>
      </c>
      <c r="I41" s="67">
        <v>103</v>
      </c>
      <c r="J41"/>
      <c r="K41">
        <f>VLOOKUP(D41,'[1]17Z0006'!$B:$H,7,0)</f>
        <v>0.1365</v>
      </c>
    </row>
    <row r="42" ht="24" spans="1:11">
      <c r="A42" s="52">
        <v>23</v>
      </c>
      <c r="B42" s="32" t="s">
        <v>82</v>
      </c>
      <c r="C42" s="33">
        <v>17</v>
      </c>
      <c r="D42" s="34" t="s">
        <v>83</v>
      </c>
      <c r="E42" s="34" t="s">
        <v>80</v>
      </c>
      <c r="F42" s="35">
        <v>24.2</v>
      </c>
      <c r="G42" s="35">
        <v>27.6</v>
      </c>
      <c r="H42" s="33" t="s">
        <v>75</v>
      </c>
      <c r="I42" s="67">
        <v>130</v>
      </c>
      <c r="J42"/>
      <c r="K42">
        <f>VLOOKUP(D42,'[1]17Z0006'!$B:$H,7,0)</f>
        <v>0.1159</v>
      </c>
    </row>
    <row r="43" ht="13.5" spans="1:11">
      <c r="A43" s="50"/>
      <c r="B43" s="30" t="s">
        <v>84</v>
      </c>
      <c r="C43" s="19"/>
      <c r="D43" s="51" t="s">
        <v>84</v>
      </c>
      <c r="E43" s="31"/>
      <c r="F43" s="31"/>
      <c r="G43" s="31">
        <f>SUM(G44:G52)</f>
        <v>266</v>
      </c>
      <c r="H43" s="31"/>
      <c r="I43" s="31"/>
      <c r="J43"/>
      <c r="K43">
        <f>VLOOKUP(D43,'[1]17Z0006'!$B:$H,7,0)</f>
        <v>0</v>
      </c>
    </row>
    <row r="44" ht="24" spans="1:11">
      <c r="A44" s="52">
        <v>24</v>
      </c>
      <c r="B44" s="32" t="s">
        <v>85</v>
      </c>
      <c r="C44" s="33">
        <v>18</v>
      </c>
      <c r="D44" s="34" t="s">
        <v>86</v>
      </c>
      <c r="E44" s="34" t="s">
        <v>80</v>
      </c>
      <c r="F44" s="35">
        <v>18.8</v>
      </c>
      <c r="G44" s="35">
        <v>21.3</v>
      </c>
      <c r="H44" s="33" t="s">
        <v>87</v>
      </c>
      <c r="I44" s="67">
        <v>169</v>
      </c>
      <c r="J44"/>
      <c r="K44">
        <f>VLOOKUP(D44,'[1]17Z0006'!$B:$H,7,0)</f>
        <v>0.0852</v>
      </c>
    </row>
    <row r="45" ht="24" spans="1:11">
      <c r="A45" s="52">
        <v>25</v>
      </c>
      <c r="B45" s="32" t="s">
        <v>88</v>
      </c>
      <c r="C45" s="33">
        <v>19</v>
      </c>
      <c r="D45" s="34" t="s">
        <v>88</v>
      </c>
      <c r="E45" s="34" t="s">
        <v>80</v>
      </c>
      <c r="F45" s="35">
        <v>9.1</v>
      </c>
      <c r="G45" s="35">
        <v>10.1</v>
      </c>
      <c r="H45" s="33" t="s">
        <v>44</v>
      </c>
      <c r="I45" s="67">
        <v>356</v>
      </c>
      <c r="J45"/>
      <c r="K45">
        <f>VLOOKUP(D45,'[1]17Z0006'!$B:$H,7,0)</f>
        <v>0.0384</v>
      </c>
    </row>
    <row r="46" ht="24" spans="1:11">
      <c r="A46" s="52">
        <v>26</v>
      </c>
      <c r="B46" s="32" t="s">
        <v>89</v>
      </c>
      <c r="C46" s="33">
        <v>20</v>
      </c>
      <c r="D46" s="34" t="s">
        <v>90</v>
      </c>
      <c r="E46" s="34" t="s">
        <v>80</v>
      </c>
      <c r="F46" s="35">
        <v>34.9</v>
      </c>
      <c r="G46" s="35">
        <v>38.7</v>
      </c>
      <c r="H46" s="33" t="s">
        <v>81</v>
      </c>
      <c r="I46" s="67">
        <v>93</v>
      </c>
      <c r="J46"/>
      <c r="K46">
        <f>VLOOKUP(D46,'[1]17Z0006'!$B:$H,7,0)</f>
        <v>0.1509</v>
      </c>
    </row>
    <row r="47" ht="24" spans="1:11">
      <c r="A47" s="52">
        <v>28</v>
      </c>
      <c r="B47" s="32" t="s">
        <v>91</v>
      </c>
      <c r="C47" s="33">
        <v>21</v>
      </c>
      <c r="D47" s="34" t="s">
        <v>91</v>
      </c>
      <c r="E47" s="34" t="s">
        <v>92</v>
      </c>
      <c r="F47" s="35">
        <v>17.6</v>
      </c>
      <c r="G47" s="35">
        <v>19.7</v>
      </c>
      <c r="H47" s="33" t="s">
        <v>81</v>
      </c>
      <c r="I47" s="67">
        <v>183</v>
      </c>
      <c r="J47"/>
      <c r="K47">
        <f>VLOOKUP(D47,'[1]17Z0006'!$B:$H,7,0)</f>
        <v>0.0768</v>
      </c>
    </row>
    <row r="48" ht="24" spans="1:11">
      <c r="A48" s="52">
        <v>29</v>
      </c>
      <c r="B48" s="32" t="s">
        <v>93</v>
      </c>
      <c r="C48" s="33">
        <v>22</v>
      </c>
      <c r="D48" s="34" t="s">
        <v>94</v>
      </c>
      <c r="E48" s="34" t="s">
        <v>65</v>
      </c>
      <c r="F48" s="35">
        <v>29.1</v>
      </c>
      <c r="G48" s="35">
        <v>32.7</v>
      </c>
      <c r="H48" s="33" t="s">
        <v>95</v>
      </c>
      <c r="I48" s="67">
        <v>110</v>
      </c>
      <c r="J48"/>
      <c r="K48">
        <f>VLOOKUP(D48,'[1]17Z0006'!$B:$H,7,0)</f>
        <v>0.121</v>
      </c>
    </row>
    <row r="49" ht="13.5" spans="1:11">
      <c r="A49" s="52">
        <v>30</v>
      </c>
      <c r="B49" s="32" t="s">
        <v>96</v>
      </c>
      <c r="C49" s="33">
        <v>23</v>
      </c>
      <c r="D49" s="34" t="s">
        <v>97</v>
      </c>
      <c r="E49" s="34" t="s">
        <v>40</v>
      </c>
      <c r="F49" s="35">
        <v>18.6</v>
      </c>
      <c r="G49" s="35">
        <v>22</v>
      </c>
      <c r="H49" s="33" t="s">
        <v>41</v>
      </c>
      <c r="I49" s="67">
        <v>164</v>
      </c>
      <c r="J49"/>
      <c r="K49">
        <f>VLOOKUP(D49,'[1]17Z0006'!$B:$H,7,0)</f>
        <v>0.0726</v>
      </c>
    </row>
    <row r="50" ht="24" spans="1:11">
      <c r="A50" s="52">
        <v>31</v>
      </c>
      <c r="B50" s="32" t="s">
        <v>98</v>
      </c>
      <c r="C50" s="33">
        <v>24</v>
      </c>
      <c r="D50" s="34" t="s">
        <v>99</v>
      </c>
      <c r="E50" s="34" t="s">
        <v>80</v>
      </c>
      <c r="F50" s="35">
        <v>70.7</v>
      </c>
      <c r="G50" s="35">
        <v>79.5</v>
      </c>
      <c r="H50" s="33" t="s">
        <v>100</v>
      </c>
      <c r="I50" s="67">
        <v>45</v>
      </c>
      <c r="J50"/>
      <c r="K50">
        <f>VLOOKUP(D50,'[1]17Z0006'!$B:$H,7,0)</f>
        <v>0.3419</v>
      </c>
    </row>
    <row r="51" ht="24" spans="1:11">
      <c r="A51" s="56">
        <v>32</v>
      </c>
      <c r="B51" s="57" t="s">
        <v>101</v>
      </c>
      <c r="C51" s="53">
        <v>25</v>
      </c>
      <c r="D51" s="54" t="s">
        <v>102</v>
      </c>
      <c r="E51" s="54" t="s">
        <v>103</v>
      </c>
      <c r="F51" s="55">
        <v>12.3</v>
      </c>
      <c r="G51" s="55">
        <v>15.1</v>
      </c>
      <c r="H51" s="53" t="s">
        <v>104</v>
      </c>
      <c r="I51" s="69">
        <v>238</v>
      </c>
      <c r="J51"/>
      <c r="K51">
        <f>VLOOKUP(D51,'[1]17Z0006'!$B:$H,7,0)</f>
        <v>0.0529</v>
      </c>
    </row>
    <row r="52" ht="24" spans="1:11">
      <c r="A52" s="56">
        <v>75</v>
      </c>
      <c r="B52" s="57" t="s">
        <v>105</v>
      </c>
      <c r="C52" s="53">
        <v>70</v>
      </c>
      <c r="D52" s="54" t="s">
        <v>106</v>
      </c>
      <c r="E52" s="54" t="s">
        <v>107</v>
      </c>
      <c r="F52" s="55">
        <v>23.4</v>
      </c>
      <c r="G52" s="55">
        <v>26.9</v>
      </c>
      <c r="H52" s="53" t="s">
        <v>104</v>
      </c>
      <c r="I52" s="69">
        <v>134</v>
      </c>
      <c r="J52"/>
      <c r="K52">
        <f>VLOOKUP(D52,'[1]17Z0006'!$B:$H,7,0)</f>
        <v>0.0942</v>
      </c>
    </row>
    <row r="53" ht="13.5" spans="1:11">
      <c r="A53" s="50"/>
      <c r="B53" s="30" t="s">
        <v>108</v>
      </c>
      <c r="C53" s="19"/>
      <c r="D53" s="51" t="s">
        <v>108</v>
      </c>
      <c r="E53" s="31"/>
      <c r="F53" s="31"/>
      <c r="G53" s="31">
        <f>SUM(G56:G82)</f>
        <v>663.1</v>
      </c>
      <c r="H53" s="31"/>
      <c r="I53" s="31"/>
      <c r="J53"/>
      <c r="K53">
        <f>VLOOKUP(D53,'[1]17Z0006'!$B:$H,7,0)</f>
        <v>0</v>
      </c>
    </row>
    <row r="54" ht="13.5" spans="1:11">
      <c r="A54" s="52">
        <v>27</v>
      </c>
      <c r="B54" s="32" t="s">
        <v>109</v>
      </c>
      <c r="C54" s="33">
        <v>26</v>
      </c>
      <c r="D54" s="34" t="s">
        <v>110</v>
      </c>
      <c r="E54" s="34" t="s">
        <v>40</v>
      </c>
      <c r="F54" s="35">
        <v>27.9</v>
      </c>
      <c r="G54" s="35">
        <v>30.8</v>
      </c>
      <c r="H54" s="33" t="s">
        <v>41</v>
      </c>
      <c r="I54" s="67">
        <v>117</v>
      </c>
      <c r="J54"/>
      <c r="K54">
        <f>VLOOKUP(D54,'[1]17Z0006'!$B:$H,7,0)</f>
        <v>0.1016</v>
      </c>
    </row>
    <row r="55" ht="13.5" spans="1:11">
      <c r="A55" s="52">
        <v>14</v>
      </c>
      <c r="B55" s="32" t="s">
        <v>111</v>
      </c>
      <c r="C55" s="33">
        <v>27</v>
      </c>
      <c r="D55" s="34" t="s">
        <v>111</v>
      </c>
      <c r="E55" s="34" t="s">
        <v>112</v>
      </c>
      <c r="F55" s="35">
        <v>6</v>
      </c>
      <c r="G55" s="35">
        <v>6</v>
      </c>
      <c r="H55" s="33" t="s">
        <v>35</v>
      </c>
      <c r="I55" s="67">
        <v>600</v>
      </c>
      <c r="J55"/>
      <c r="K55">
        <f>VLOOKUP(D55,'[1]17Z0006'!$B:$H,7,0)</f>
        <v>0.0186</v>
      </c>
    </row>
    <row r="56" ht="24" spans="1:11">
      <c r="A56" s="52">
        <v>60</v>
      </c>
      <c r="B56" s="32" t="s">
        <v>113</v>
      </c>
      <c r="C56" s="33">
        <v>28</v>
      </c>
      <c r="D56" s="34" t="s">
        <v>114</v>
      </c>
      <c r="E56" s="34" t="s">
        <v>40</v>
      </c>
      <c r="F56" s="35">
        <v>4</v>
      </c>
      <c r="G56" s="35">
        <v>4.4</v>
      </c>
      <c r="H56" s="33" t="s">
        <v>35</v>
      </c>
      <c r="I56" s="67">
        <v>818</v>
      </c>
      <c r="J56"/>
      <c r="K56">
        <f>VLOOKUP(D56,'[1]17Z0006'!$B:$H,7,0)</f>
        <v>0.0136</v>
      </c>
    </row>
    <row r="57" ht="24" spans="1:11">
      <c r="A57" s="52">
        <v>61</v>
      </c>
      <c r="B57" s="32" t="s">
        <v>115</v>
      </c>
      <c r="C57" s="33">
        <v>29</v>
      </c>
      <c r="D57" s="34" t="s">
        <v>115</v>
      </c>
      <c r="E57" s="34" t="s">
        <v>40</v>
      </c>
      <c r="F57" s="35">
        <v>1.8</v>
      </c>
      <c r="G57" s="35">
        <v>2</v>
      </c>
      <c r="H57" s="33" t="s">
        <v>35</v>
      </c>
      <c r="I57" s="67">
        <v>1800</v>
      </c>
      <c r="J57"/>
      <c r="K57">
        <f>VLOOKUP(D57,'[1]17Z0006'!$B:$H,7,0)</f>
        <v>0.0062</v>
      </c>
    </row>
    <row r="58" ht="24" spans="1:11">
      <c r="A58" s="52">
        <v>62</v>
      </c>
      <c r="B58" s="32" t="s">
        <v>116</v>
      </c>
      <c r="C58" s="33">
        <v>30</v>
      </c>
      <c r="D58" s="34" t="s">
        <v>116</v>
      </c>
      <c r="E58" s="34" t="s">
        <v>40</v>
      </c>
      <c r="F58" s="35">
        <v>1.8</v>
      </c>
      <c r="G58" s="35">
        <v>2</v>
      </c>
      <c r="H58" s="33" t="s">
        <v>35</v>
      </c>
      <c r="I58" s="67">
        <v>1800</v>
      </c>
      <c r="J58"/>
      <c r="K58">
        <f>VLOOKUP(D58,'[1]17Z0006'!$B:$H,7,0)</f>
        <v>0.0062</v>
      </c>
    </row>
    <row r="59" s="1" customFormat="1" ht="24" spans="1:11">
      <c r="A59" s="52">
        <v>36</v>
      </c>
      <c r="B59" s="32" t="s">
        <v>117</v>
      </c>
      <c r="C59" s="53">
        <v>31</v>
      </c>
      <c r="D59" s="54" t="s">
        <v>117</v>
      </c>
      <c r="E59" s="54" t="s">
        <v>74</v>
      </c>
      <c r="F59" s="55">
        <v>19.9</v>
      </c>
      <c r="G59" s="55">
        <v>22.2</v>
      </c>
      <c r="H59" s="53" t="s">
        <v>87</v>
      </c>
      <c r="I59" s="69">
        <v>162</v>
      </c>
      <c r="J59"/>
      <c r="K59">
        <f>VLOOKUP(D59,'[1]17Z0006'!$B:$H,7,0)</f>
        <v>0.0888</v>
      </c>
    </row>
    <row r="60" s="1" customFormat="1" ht="24" spans="1:11">
      <c r="A60" s="52">
        <v>37</v>
      </c>
      <c r="B60" s="32" t="s">
        <v>118</v>
      </c>
      <c r="C60" s="53">
        <v>32</v>
      </c>
      <c r="D60" s="54" t="s">
        <v>118</v>
      </c>
      <c r="E60" s="54" t="s">
        <v>74</v>
      </c>
      <c r="F60" s="55">
        <v>33</v>
      </c>
      <c r="G60" s="55">
        <v>37</v>
      </c>
      <c r="H60" s="53" t="s">
        <v>75</v>
      </c>
      <c r="I60" s="69">
        <v>97</v>
      </c>
      <c r="J60"/>
      <c r="K60">
        <f>VLOOKUP(D60,'[1]17Z0006'!$B:$H,7,0)</f>
        <v>0.1554</v>
      </c>
    </row>
    <row r="61" s="1" customFormat="1" ht="24" spans="1:11">
      <c r="A61" s="52">
        <v>63</v>
      </c>
      <c r="B61" s="32" t="s">
        <v>119</v>
      </c>
      <c r="C61" s="53">
        <v>33</v>
      </c>
      <c r="D61" s="54" t="s">
        <v>120</v>
      </c>
      <c r="E61" s="54" t="s">
        <v>77</v>
      </c>
      <c r="F61" s="55">
        <v>16.8</v>
      </c>
      <c r="G61" s="55">
        <v>18.8</v>
      </c>
      <c r="H61" s="53" t="s">
        <v>87</v>
      </c>
      <c r="I61" s="69">
        <v>191</v>
      </c>
      <c r="J61"/>
      <c r="K61">
        <f>VLOOKUP(D61,'[1]17Z0006'!$B:$H,7,0)</f>
        <v>0.0752</v>
      </c>
    </row>
    <row r="62" s="1" customFormat="1" ht="24" spans="1:11">
      <c r="A62" s="52">
        <v>39</v>
      </c>
      <c r="B62" s="32" t="s">
        <v>121</v>
      </c>
      <c r="C62" s="53">
        <v>34</v>
      </c>
      <c r="D62" s="58" t="s">
        <v>122</v>
      </c>
      <c r="E62" s="58" t="s">
        <v>74</v>
      </c>
      <c r="F62" s="59">
        <v>35.5</v>
      </c>
      <c r="G62" s="59">
        <v>39.9</v>
      </c>
      <c r="H62" s="60" t="s">
        <v>75</v>
      </c>
      <c r="I62" s="70">
        <v>90</v>
      </c>
      <c r="J62"/>
      <c r="K62">
        <f>VLOOKUP(D62,'[1]17Z0006'!$B:$H,7,0)</f>
        <v>0.1676</v>
      </c>
    </row>
    <row r="63" s="1" customFormat="1" ht="13.5" spans="1:11">
      <c r="A63" s="52">
        <v>67</v>
      </c>
      <c r="B63" s="32" t="s">
        <v>123</v>
      </c>
      <c r="C63" s="53">
        <v>69</v>
      </c>
      <c r="D63" s="61" t="s">
        <v>124</v>
      </c>
      <c r="E63" s="61" t="s">
        <v>80</v>
      </c>
      <c r="F63" s="62">
        <v>9.1</v>
      </c>
      <c r="G63" s="62">
        <v>11.6</v>
      </c>
      <c r="H63" s="63" t="s">
        <v>44</v>
      </c>
      <c r="I63" s="71">
        <v>310</v>
      </c>
      <c r="J63"/>
      <c r="K63">
        <f>VLOOKUP(D63,'[1]17Z0006'!$B:$H,7,0)</f>
        <v>0.0441</v>
      </c>
    </row>
    <row r="64" s="1" customFormat="1" ht="13.5" spans="1:11">
      <c r="A64" s="56">
        <v>56</v>
      </c>
      <c r="B64" s="57" t="s">
        <v>125</v>
      </c>
      <c r="C64" s="53"/>
      <c r="D64" s="64"/>
      <c r="E64" s="64"/>
      <c r="F64" s="65"/>
      <c r="G64" s="65"/>
      <c r="H64" s="66"/>
      <c r="I64" s="72"/>
      <c r="J64"/>
      <c r="K64"/>
    </row>
    <row r="65" s="1" customFormat="1" ht="24" spans="1:11">
      <c r="A65" s="73">
        <v>64</v>
      </c>
      <c r="B65" s="74" t="s">
        <v>126</v>
      </c>
      <c r="C65" s="53">
        <v>35</v>
      </c>
      <c r="D65" s="54" t="s">
        <v>127</v>
      </c>
      <c r="E65" s="54" t="s">
        <v>80</v>
      </c>
      <c r="F65" s="55">
        <v>15.5</v>
      </c>
      <c r="G65" s="55">
        <v>17.1</v>
      </c>
      <c r="H65" s="53" t="s">
        <v>44</v>
      </c>
      <c r="I65" s="69">
        <v>211</v>
      </c>
      <c r="J65"/>
      <c r="K65">
        <f>VLOOKUP(D65,'[1]17Z0006'!$B:$H,7,0)</f>
        <v>0.065</v>
      </c>
    </row>
    <row r="66" s="1" customFormat="1" ht="13.5" spans="1:11">
      <c r="A66" s="75"/>
      <c r="B66" s="76"/>
      <c r="C66" s="77">
        <v>65</v>
      </c>
      <c r="D66" s="78" t="s">
        <v>128</v>
      </c>
      <c r="E66" s="78" t="s">
        <v>80</v>
      </c>
      <c r="F66" s="79">
        <v>13.8</v>
      </c>
      <c r="G66" s="79">
        <v>15.4</v>
      </c>
      <c r="H66" s="80" t="s">
        <v>87</v>
      </c>
      <c r="I66" s="111">
        <v>234</v>
      </c>
      <c r="J66"/>
      <c r="K66">
        <f>VLOOKUP(D66,'[1]17Z0006'!$B:$H,7,0)</f>
        <v>0.0616</v>
      </c>
    </row>
    <row r="67" s="1" customFormat="1" ht="24" spans="1:11">
      <c r="A67" s="52">
        <v>41</v>
      </c>
      <c r="B67" s="32" t="s">
        <v>129</v>
      </c>
      <c r="C67" s="53">
        <v>36</v>
      </c>
      <c r="D67" s="54" t="s">
        <v>129</v>
      </c>
      <c r="E67" s="54" t="s">
        <v>40</v>
      </c>
      <c r="F67" s="55">
        <v>4.5</v>
      </c>
      <c r="G67" s="55">
        <v>5</v>
      </c>
      <c r="H67" s="53" t="s">
        <v>35</v>
      </c>
      <c r="I67" s="69">
        <v>720</v>
      </c>
      <c r="J67"/>
      <c r="K67">
        <f>VLOOKUP(D67,'[1]17Z0006'!$B:$H,7,0)</f>
        <v>0.0155</v>
      </c>
    </row>
    <row r="68" s="1" customFormat="1" ht="24" spans="1:11">
      <c r="A68" s="52">
        <v>42</v>
      </c>
      <c r="B68" s="32" t="s">
        <v>130</v>
      </c>
      <c r="C68" s="53">
        <v>37</v>
      </c>
      <c r="D68" s="54" t="s">
        <v>130</v>
      </c>
      <c r="E68" s="54" t="s">
        <v>74</v>
      </c>
      <c r="F68" s="55">
        <v>25.2</v>
      </c>
      <c r="G68" s="55">
        <v>28</v>
      </c>
      <c r="H68" s="53" t="s">
        <v>100</v>
      </c>
      <c r="I68" s="69">
        <v>129</v>
      </c>
      <c r="J68"/>
      <c r="K68">
        <f>VLOOKUP(D68,'[1]17Z0006'!$B:$H,7,0)</f>
        <v>0.1204</v>
      </c>
    </row>
    <row r="69" s="1" customFormat="1" ht="13.5" spans="1:11">
      <c r="A69" s="56">
        <v>65</v>
      </c>
      <c r="B69" s="57" t="s">
        <v>131</v>
      </c>
      <c r="C69" s="81">
        <v>38</v>
      </c>
      <c r="D69" s="82" t="s">
        <v>132</v>
      </c>
      <c r="E69" s="82" t="s">
        <v>80</v>
      </c>
      <c r="F69" s="83">
        <v>43.6</v>
      </c>
      <c r="G69" s="83">
        <v>53.7</v>
      </c>
      <c r="H69" s="84" t="s">
        <v>100</v>
      </c>
      <c r="I69" s="112">
        <v>67</v>
      </c>
      <c r="J69" s="113" t="s">
        <v>133</v>
      </c>
      <c r="K69">
        <f>VLOOKUP(D69,'[1]17Z0006'!$B:$H,7,0)</f>
        <v>0.2308</v>
      </c>
    </row>
    <row r="70" s="1" customFormat="1" ht="24" spans="1:11">
      <c r="A70" s="56">
        <v>44</v>
      </c>
      <c r="B70" s="85" t="s">
        <v>134</v>
      </c>
      <c r="C70" s="81">
        <v>39</v>
      </c>
      <c r="D70" s="86"/>
      <c r="E70" s="86"/>
      <c r="F70" s="87"/>
      <c r="G70" s="87"/>
      <c r="H70" s="88"/>
      <c r="I70" s="114"/>
      <c r="J70" s="113"/>
      <c r="K70"/>
    </row>
    <row r="71" s="1" customFormat="1" ht="36" spans="1:11">
      <c r="A71" s="52">
        <v>45</v>
      </c>
      <c r="B71" s="32" t="s">
        <v>135</v>
      </c>
      <c r="C71" s="53">
        <v>40</v>
      </c>
      <c r="D71" s="54" t="s">
        <v>136</v>
      </c>
      <c r="E71" s="54" t="s">
        <v>77</v>
      </c>
      <c r="F71" s="55">
        <v>25.1</v>
      </c>
      <c r="G71" s="55">
        <v>28.3</v>
      </c>
      <c r="H71" s="53" t="s">
        <v>87</v>
      </c>
      <c r="I71" s="69">
        <v>127</v>
      </c>
      <c r="J71"/>
      <c r="K71">
        <f>VLOOKUP(D71,'[1]17Z0006'!$B:$H,7,0)</f>
        <v>0.1132</v>
      </c>
    </row>
    <row r="72" s="1" customFormat="1" ht="24" spans="1:11">
      <c r="A72" s="52">
        <v>46</v>
      </c>
      <c r="B72" s="32" t="s">
        <v>137</v>
      </c>
      <c r="C72" s="53">
        <v>41</v>
      </c>
      <c r="D72" s="54" t="s">
        <v>138</v>
      </c>
      <c r="E72" s="54" t="s">
        <v>40</v>
      </c>
      <c r="F72" s="55">
        <v>15.3</v>
      </c>
      <c r="G72" s="55">
        <v>16.9</v>
      </c>
      <c r="H72" s="53" t="s">
        <v>35</v>
      </c>
      <c r="I72" s="69">
        <v>213</v>
      </c>
      <c r="J72"/>
      <c r="K72">
        <f>VLOOKUP(D72,'[1]17Z0006'!$B:$H,7,0)</f>
        <v>0.0524</v>
      </c>
    </row>
    <row r="73" s="1" customFormat="1" ht="24" spans="1:11">
      <c r="A73" s="52">
        <v>73</v>
      </c>
      <c r="B73" s="32" t="s">
        <v>139</v>
      </c>
      <c r="C73" s="53">
        <v>67</v>
      </c>
      <c r="D73" s="54" t="s">
        <v>140</v>
      </c>
      <c r="E73" s="54" t="s">
        <v>80</v>
      </c>
      <c r="F73" s="55">
        <v>14.9</v>
      </c>
      <c r="G73" s="55">
        <v>16.5</v>
      </c>
      <c r="H73" s="53" t="s">
        <v>75</v>
      </c>
      <c r="I73" s="69">
        <v>218</v>
      </c>
      <c r="J73"/>
      <c r="K73">
        <f>VLOOKUP(D73,'[1]17Z0006'!$B:$H,7,0)</f>
        <v>0.0693</v>
      </c>
    </row>
    <row r="74" s="1" customFormat="1" ht="24" spans="1:11">
      <c r="A74" s="52">
        <v>66</v>
      </c>
      <c r="B74" s="32" t="s">
        <v>141</v>
      </c>
      <c r="C74" s="53">
        <v>42</v>
      </c>
      <c r="D74" s="54" t="s">
        <v>142</v>
      </c>
      <c r="E74" s="54" t="s">
        <v>80</v>
      </c>
      <c r="F74" s="55">
        <v>63.4</v>
      </c>
      <c r="G74" s="55">
        <v>74.8</v>
      </c>
      <c r="H74" s="53" t="s">
        <v>143</v>
      </c>
      <c r="I74" s="69">
        <v>48</v>
      </c>
      <c r="J74"/>
      <c r="K74">
        <f>VLOOKUP(D74,'[1]17Z0006'!$B:$H,7,0)</f>
        <v>0.3514</v>
      </c>
    </row>
    <row r="75" s="1" customFormat="1" ht="24" spans="1:11">
      <c r="A75" s="52">
        <v>74</v>
      </c>
      <c r="B75" s="32" t="s">
        <v>144</v>
      </c>
      <c r="C75" s="53">
        <v>68</v>
      </c>
      <c r="D75" s="54" t="s">
        <v>145</v>
      </c>
      <c r="E75" s="54" t="s">
        <v>80</v>
      </c>
      <c r="F75" s="55">
        <v>33.1</v>
      </c>
      <c r="G75" s="55">
        <v>36.7</v>
      </c>
      <c r="H75" s="53" t="s">
        <v>100</v>
      </c>
      <c r="I75" s="69">
        <v>98</v>
      </c>
      <c r="J75"/>
      <c r="K75">
        <f>VLOOKUP(D75,'[1]17Z0006'!$B:$H,7,0)</f>
        <v>0.1578</v>
      </c>
    </row>
    <row r="76" ht="24" spans="1:11">
      <c r="A76" s="52">
        <v>48</v>
      </c>
      <c r="B76" s="32" t="s">
        <v>146</v>
      </c>
      <c r="C76" s="33">
        <v>43</v>
      </c>
      <c r="D76" s="34" t="s">
        <v>146</v>
      </c>
      <c r="E76" s="34" t="s">
        <v>80</v>
      </c>
      <c r="F76" s="35">
        <v>33.9</v>
      </c>
      <c r="G76" s="35">
        <v>37.7</v>
      </c>
      <c r="H76" s="33" t="s">
        <v>100</v>
      </c>
      <c r="I76" s="67">
        <v>95</v>
      </c>
      <c r="J76"/>
      <c r="K76">
        <f>VLOOKUP(D76,'[1]17Z0006'!$B:$H,7,0)</f>
        <v>0.1621</v>
      </c>
    </row>
    <row r="77" ht="13.5" spans="1:11">
      <c r="A77" s="56">
        <v>49</v>
      </c>
      <c r="B77" s="57" t="s">
        <v>147</v>
      </c>
      <c r="C77" s="89">
        <v>44</v>
      </c>
      <c r="D77" s="90" t="s">
        <v>148</v>
      </c>
      <c r="E77" s="90" t="s">
        <v>80</v>
      </c>
      <c r="F77" s="91">
        <v>55.8</v>
      </c>
      <c r="G77" s="91">
        <v>69.1</v>
      </c>
      <c r="H77" s="92" t="s">
        <v>149</v>
      </c>
      <c r="I77" s="115">
        <v>52</v>
      </c>
      <c r="J77" s="113" t="s">
        <v>150</v>
      </c>
      <c r="K77">
        <f>VLOOKUP(D77,'[1]17Z0006'!$B:$H,7,0)</f>
        <v>0.3178</v>
      </c>
    </row>
    <row r="78" ht="13.5" spans="1:11">
      <c r="A78" s="93">
        <v>50</v>
      </c>
      <c r="B78" s="94" t="s">
        <v>151</v>
      </c>
      <c r="C78" s="89">
        <v>45</v>
      </c>
      <c r="D78" s="95"/>
      <c r="E78" s="95"/>
      <c r="F78" s="96"/>
      <c r="G78" s="96"/>
      <c r="H78" s="97"/>
      <c r="I78" s="116"/>
      <c r="J78" s="113"/>
      <c r="K78"/>
    </row>
    <row r="79" s="1" customFormat="1" ht="24" spans="1:11">
      <c r="A79" s="98"/>
      <c r="B79" s="99"/>
      <c r="C79" s="100">
        <v>77</v>
      </c>
      <c r="D79" s="101" t="s">
        <v>152</v>
      </c>
      <c r="E79" s="101" t="s">
        <v>80</v>
      </c>
      <c r="F79" s="102">
        <v>14.1</v>
      </c>
      <c r="G79" s="102">
        <v>15.8</v>
      </c>
      <c r="H79" s="100" t="s">
        <v>44</v>
      </c>
      <c r="I79" s="117">
        <v>228</v>
      </c>
      <c r="J79" s="113"/>
      <c r="K79">
        <f>VLOOKUP(D79,'[1]17Z0006'!$B:$H,7,0)</f>
        <v>0.06</v>
      </c>
    </row>
    <row r="80" ht="24" spans="1:11">
      <c r="A80" s="52">
        <v>51</v>
      </c>
      <c r="B80" s="32" t="s">
        <v>153</v>
      </c>
      <c r="C80" s="33">
        <v>46</v>
      </c>
      <c r="D80" s="34" t="s">
        <v>153</v>
      </c>
      <c r="E80" s="34" t="s">
        <v>80</v>
      </c>
      <c r="F80" s="35">
        <v>41.1</v>
      </c>
      <c r="G80" s="35">
        <v>46.6</v>
      </c>
      <c r="H80" s="33" t="s">
        <v>100</v>
      </c>
      <c r="I80" s="67">
        <v>77</v>
      </c>
      <c r="J80"/>
      <c r="K80">
        <f>VLOOKUP(D80,'[1]17Z0006'!$B:$H,7,0)</f>
        <v>0.2004</v>
      </c>
    </row>
    <row r="81" ht="24" spans="1:11">
      <c r="A81" s="52">
        <v>52</v>
      </c>
      <c r="B81" s="32" t="s">
        <v>154</v>
      </c>
      <c r="C81" s="33">
        <v>47</v>
      </c>
      <c r="D81" s="34" t="s">
        <v>154</v>
      </c>
      <c r="E81" s="34" t="s">
        <v>80</v>
      </c>
      <c r="F81" s="35">
        <v>36.4</v>
      </c>
      <c r="G81" s="35">
        <v>45.1</v>
      </c>
      <c r="H81" s="33" t="s">
        <v>155</v>
      </c>
      <c r="I81" s="67">
        <v>80</v>
      </c>
      <c r="J81"/>
      <c r="K81">
        <f>VLOOKUP(D81,'[1]17Z0006'!$B:$H,7,0)</f>
        <v>0.203</v>
      </c>
    </row>
    <row r="82" ht="24" spans="1:11">
      <c r="A82" s="52">
        <v>53</v>
      </c>
      <c r="B82" s="32" t="s">
        <v>156</v>
      </c>
      <c r="C82" s="33">
        <v>48</v>
      </c>
      <c r="D82" s="34" t="s">
        <v>157</v>
      </c>
      <c r="E82" s="34" t="s">
        <v>80</v>
      </c>
      <c r="F82" s="35">
        <v>16.7</v>
      </c>
      <c r="G82" s="35">
        <v>18.5</v>
      </c>
      <c r="H82" s="33" t="s">
        <v>44</v>
      </c>
      <c r="I82" s="67">
        <v>195</v>
      </c>
      <c r="J82"/>
      <c r="K82">
        <f>VLOOKUP(D82,'[1]17Z0006'!$B:$H,7,0)</f>
        <v>0.0703</v>
      </c>
    </row>
    <row r="83" ht="13.5" spans="1:11">
      <c r="A83" s="52">
        <v>120</v>
      </c>
      <c r="B83" s="32" t="s">
        <v>158</v>
      </c>
      <c r="C83" s="33">
        <v>49</v>
      </c>
      <c r="D83" s="34" t="s">
        <v>159</v>
      </c>
      <c r="E83" s="34" t="s">
        <v>160</v>
      </c>
      <c r="F83" s="35">
        <v>32.4</v>
      </c>
      <c r="G83" s="35">
        <v>35.8</v>
      </c>
      <c r="H83" s="33" t="s">
        <v>161</v>
      </c>
      <c r="I83" s="67">
        <v>101</v>
      </c>
      <c r="J83"/>
      <c r="K83">
        <f>VLOOKUP(D83,'[1]17Z0006'!$B:$H,7,0)</f>
        <v>0.1217</v>
      </c>
    </row>
    <row r="84" s="1" customFormat="1" ht="13.5" spans="1:11">
      <c r="A84" s="52"/>
      <c r="B84" s="30" t="s">
        <v>162</v>
      </c>
      <c r="C84" s="103"/>
      <c r="D84" s="15" t="s">
        <v>162</v>
      </c>
      <c r="E84" s="15"/>
      <c r="F84" s="15"/>
      <c r="G84" s="15"/>
      <c r="H84" s="15"/>
      <c r="I84" s="15"/>
      <c r="J84"/>
      <c r="K84">
        <f>VLOOKUP(D84,'[1]17Z0006'!$B:$H,7,0)</f>
        <v>0</v>
      </c>
    </row>
    <row r="85" s="1" customFormat="1" ht="13.5" spans="1:11">
      <c r="A85" s="52">
        <v>34</v>
      </c>
      <c r="B85" s="32" t="s">
        <v>163</v>
      </c>
      <c r="C85" s="53">
        <v>50</v>
      </c>
      <c r="D85" s="54" t="s">
        <v>163</v>
      </c>
      <c r="E85" s="54" t="s">
        <v>164</v>
      </c>
      <c r="F85" s="55">
        <v>19.2</v>
      </c>
      <c r="G85" s="55">
        <v>21.2</v>
      </c>
      <c r="H85" s="53" t="s">
        <v>161</v>
      </c>
      <c r="I85" s="69">
        <v>170</v>
      </c>
      <c r="J85"/>
      <c r="K85">
        <f>VLOOKUP(D85,'[1]17Z0006'!$B:$H,7,0)</f>
        <v>0.0721</v>
      </c>
    </row>
    <row r="86" s="1" customFormat="1" ht="13.5" spans="1:11">
      <c r="A86" s="52">
        <v>35</v>
      </c>
      <c r="B86" s="32" t="s">
        <v>165</v>
      </c>
      <c r="C86" s="53">
        <v>51</v>
      </c>
      <c r="D86" s="54" t="s">
        <v>166</v>
      </c>
      <c r="E86" s="54" t="s">
        <v>164</v>
      </c>
      <c r="F86" s="55">
        <v>6.7</v>
      </c>
      <c r="G86" s="55">
        <v>7.4</v>
      </c>
      <c r="H86" s="53" t="s">
        <v>161</v>
      </c>
      <c r="I86" s="69">
        <v>486</v>
      </c>
      <c r="J86"/>
      <c r="K86">
        <f>VLOOKUP(D86,'[1]17Z0006'!$B:$H,7,0)</f>
        <v>0.0252</v>
      </c>
    </row>
    <row r="87" ht="13.5" spans="1:11">
      <c r="A87" s="53"/>
      <c r="B87" s="31" t="s">
        <v>167</v>
      </c>
      <c r="C87" s="19"/>
      <c r="D87" s="31" t="s">
        <v>167</v>
      </c>
      <c r="E87" s="31"/>
      <c r="F87" s="31"/>
      <c r="G87" s="31"/>
      <c r="H87" s="31"/>
      <c r="I87" s="31"/>
      <c r="K87">
        <f>VLOOKUP(D87,'[1]17Z0006'!$B:$H,7,0)</f>
        <v>0</v>
      </c>
    </row>
    <row r="88" ht="13.5" spans="1:11">
      <c r="A88" s="52">
        <v>126</v>
      </c>
      <c r="B88" s="32" t="s">
        <v>168</v>
      </c>
      <c r="C88" s="19"/>
      <c r="D88" s="31"/>
      <c r="E88" s="31"/>
      <c r="F88" s="31"/>
      <c r="G88" s="31"/>
      <c r="H88" s="31"/>
      <c r="I88" s="31"/>
      <c r="K88"/>
    </row>
    <row r="89" ht="13.5" spans="1:11">
      <c r="A89" s="52">
        <v>103</v>
      </c>
      <c r="B89" s="32" t="s">
        <v>169</v>
      </c>
      <c r="C89" s="33">
        <v>52</v>
      </c>
      <c r="D89" s="34" t="s">
        <v>170</v>
      </c>
      <c r="E89" s="34" t="s">
        <v>171</v>
      </c>
      <c r="F89" s="35">
        <v>33.1</v>
      </c>
      <c r="G89" s="35">
        <v>37.2</v>
      </c>
      <c r="H89" s="33" t="s">
        <v>100</v>
      </c>
      <c r="I89" s="67">
        <v>97</v>
      </c>
      <c r="K89">
        <f>VLOOKUP(D89,'[1]17Z0006'!$B:$H,7,0)</f>
        <v>0.16</v>
      </c>
    </row>
    <row r="90" ht="13.5" spans="1:11">
      <c r="A90" s="52">
        <v>105</v>
      </c>
      <c r="B90" s="32" t="s">
        <v>173</v>
      </c>
      <c r="C90" s="33">
        <v>53</v>
      </c>
      <c r="D90" s="34" t="s">
        <v>174</v>
      </c>
      <c r="E90" s="34" t="s">
        <v>40</v>
      </c>
      <c r="F90" s="35">
        <v>42.7</v>
      </c>
      <c r="G90" s="35">
        <v>47.1</v>
      </c>
      <c r="H90" s="33" t="s">
        <v>161</v>
      </c>
      <c r="I90" s="67">
        <v>76</v>
      </c>
      <c r="K90">
        <f>VLOOKUP(D90,'[1]17Z0006'!$B:$H,7,0)</f>
        <v>0.1601</v>
      </c>
    </row>
    <row r="91" s="3" customFormat="1" ht="24" spans="1:11">
      <c r="A91" s="45">
        <v>180</v>
      </c>
      <c r="B91" s="44" t="s">
        <v>175</v>
      </c>
      <c r="C91" s="104">
        <v>71</v>
      </c>
      <c r="D91" s="105" t="s">
        <v>176</v>
      </c>
      <c r="E91" s="105" t="s">
        <v>40</v>
      </c>
      <c r="F91" s="106">
        <v>33.1</v>
      </c>
      <c r="G91" s="106">
        <v>36.6</v>
      </c>
      <c r="H91" s="104" t="s">
        <v>35</v>
      </c>
      <c r="I91" s="118">
        <v>98</v>
      </c>
      <c r="K91">
        <f>VLOOKUP(D91,'[1]17Z0006'!$B:$H,7,0)</f>
        <v>0.1135</v>
      </c>
    </row>
    <row r="92" ht="24" spans="1:11">
      <c r="A92" s="52">
        <v>107</v>
      </c>
      <c r="B92" s="32" t="s">
        <v>177</v>
      </c>
      <c r="C92" s="33">
        <v>72</v>
      </c>
      <c r="D92" s="34" t="s">
        <v>178</v>
      </c>
      <c r="E92" s="34" t="s">
        <v>40</v>
      </c>
      <c r="F92" s="35">
        <v>11.7</v>
      </c>
      <c r="G92" s="35">
        <v>12.9</v>
      </c>
      <c r="H92" s="33" t="s">
        <v>35</v>
      </c>
      <c r="I92" s="67">
        <v>279</v>
      </c>
      <c r="K92">
        <f>VLOOKUP(D92,'[1]17Z0006'!$B:$H,7,0)</f>
        <v>0.04</v>
      </c>
    </row>
    <row r="93" ht="13.5" spans="1:11">
      <c r="A93" s="52">
        <v>43</v>
      </c>
      <c r="B93" s="32" t="s">
        <v>179</v>
      </c>
      <c r="C93" s="33">
        <v>54</v>
      </c>
      <c r="D93" s="34" t="s">
        <v>179</v>
      </c>
      <c r="E93" s="34" t="s">
        <v>40</v>
      </c>
      <c r="F93" s="35">
        <v>3.7</v>
      </c>
      <c r="G93" s="35">
        <v>4.1</v>
      </c>
      <c r="H93" s="33" t="s">
        <v>35</v>
      </c>
      <c r="I93" s="67">
        <v>878</v>
      </c>
      <c r="K93">
        <f>VLOOKUP(D93,'[1]17Z0006'!$B:$H,7,0)</f>
        <v>0.0127</v>
      </c>
    </row>
    <row r="94" ht="13.5" spans="1:11">
      <c r="A94" s="52">
        <v>172</v>
      </c>
      <c r="B94" s="32" t="s">
        <v>180</v>
      </c>
      <c r="C94" s="33">
        <v>55</v>
      </c>
      <c r="D94" s="34" t="s">
        <v>180</v>
      </c>
      <c r="E94" s="34" t="s">
        <v>40</v>
      </c>
      <c r="F94" s="35">
        <v>3.6</v>
      </c>
      <c r="G94" s="35">
        <v>4</v>
      </c>
      <c r="H94" s="33" t="s">
        <v>35</v>
      </c>
      <c r="I94" s="67">
        <v>900</v>
      </c>
      <c r="K94">
        <f>VLOOKUP(D94,'[1]17Z0006'!$B:$H,7,0)</f>
        <v>0.0124</v>
      </c>
    </row>
    <row r="95" ht="13.5" spans="1:11">
      <c r="A95" s="52"/>
      <c r="B95" s="32"/>
      <c r="C95" s="33">
        <v>78</v>
      </c>
      <c r="D95" s="34" t="s">
        <v>181</v>
      </c>
      <c r="E95" s="34" t="s">
        <v>40</v>
      </c>
      <c r="F95" s="35">
        <v>2.9</v>
      </c>
      <c r="G95" s="35">
        <v>3.2</v>
      </c>
      <c r="H95" s="33" t="s">
        <v>35</v>
      </c>
      <c r="I95" s="67">
        <v>1125</v>
      </c>
      <c r="J95" s="4">
        <v>0.0099</v>
      </c>
      <c r="K95"/>
    </row>
    <row r="96" ht="13.5" spans="1:11">
      <c r="A96" s="52">
        <v>140</v>
      </c>
      <c r="B96" s="32" t="s">
        <v>182</v>
      </c>
      <c r="C96" s="33">
        <v>56</v>
      </c>
      <c r="D96" s="34" t="s">
        <v>182</v>
      </c>
      <c r="E96" s="34" t="s">
        <v>40</v>
      </c>
      <c r="F96" s="35">
        <v>2.9</v>
      </c>
      <c r="G96" s="35">
        <v>3.2</v>
      </c>
      <c r="H96" s="33" t="s">
        <v>35</v>
      </c>
      <c r="I96" s="67">
        <v>1125</v>
      </c>
      <c r="K96">
        <f>VLOOKUP(D96,'[1]17Z0006'!$B:$H,7,0)</f>
        <v>0.0099</v>
      </c>
    </row>
    <row r="97" s="3" customFormat="1" ht="13.5" spans="1:11">
      <c r="A97" s="45">
        <v>111</v>
      </c>
      <c r="B97" s="44" t="s">
        <v>183</v>
      </c>
      <c r="C97" s="48">
        <v>76</v>
      </c>
      <c r="D97" s="46" t="s">
        <v>184</v>
      </c>
      <c r="E97" s="46" t="s">
        <v>40</v>
      </c>
      <c r="F97" s="107">
        <v>43.2</v>
      </c>
      <c r="G97" s="107">
        <v>47.7</v>
      </c>
      <c r="H97" s="48" t="s">
        <v>35</v>
      </c>
      <c r="I97" s="119">
        <v>75</v>
      </c>
      <c r="K97">
        <f>VLOOKUP(D97,'[1]17Z0006'!$B:$H,7,0)</f>
        <v>0.1479</v>
      </c>
    </row>
    <row r="98" ht="13.5" spans="1:11">
      <c r="A98" s="52">
        <v>154</v>
      </c>
      <c r="B98" s="32" t="s">
        <v>185</v>
      </c>
      <c r="C98" s="33">
        <v>58</v>
      </c>
      <c r="D98" s="34" t="s">
        <v>186</v>
      </c>
      <c r="E98" s="34" t="s">
        <v>40</v>
      </c>
      <c r="F98" s="35">
        <v>20</v>
      </c>
      <c r="G98" s="35">
        <v>22.2</v>
      </c>
      <c r="H98" s="33" t="s">
        <v>35</v>
      </c>
      <c r="I98" s="67">
        <v>162</v>
      </c>
      <c r="K98">
        <f>VLOOKUP(D98,'[1]17Z0006'!$B:$H,7,0)</f>
        <v>0.0688</v>
      </c>
    </row>
    <row r="99" ht="24" spans="1:11">
      <c r="A99" s="52">
        <v>121</v>
      </c>
      <c r="B99" s="32" t="s">
        <v>187</v>
      </c>
      <c r="C99" s="33">
        <v>59</v>
      </c>
      <c r="D99" s="34" t="s">
        <v>188</v>
      </c>
      <c r="E99" s="34" t="s">
        <v>40</v>
      </c>
      <c r="F99" s="35">
        <v>13.1</v>
      </c>
      <c r="G99" s="35">
        <v>14.5</v>
      </c>
      <c r="H99" s="33" t="s">
        <v>35</v>
      </c>
      <c r="I99" s="67">
        <v>248</v>
      </c>
      <c r="K99">
        <f>VLOOKUP(D99,'[1]17Z0006'!$B:$H,7,0)</f>
        <v>0.045</v>
      </c>
    </row>
    <row r="100" ht="24" spans="1:11">
      <c r="A100" s="52">
        <v>40</v>
      </c>
      <c r="B100" s="32" t="s">
        <v>189</v>
      </c>
      <c r="C100" s="33">
        <v>74</v>
      </c>
      <c r="D100" s="34" t="s">
        <v>190</v>
      </c>
      <c r="E100" s="34" t="s">
        <v>40</v>
      </c>
      <c r="F100" s="35">
        <v>5.9</v>
      </c>
      <c r="G100" s="35">
        <v>6.5</v>
      </c>
      <c r="H100" s="33" t="s">
        <v>35</v>
      </c>
      <c r="I100" s="67">
        <v>554</v>
      </c>
      <c r="K100">
        <f>VLOOKUP(D100,'[1]17Z0006'!$B:$H,7,0)</f>
        <v>0.0202</v>
      </c>
    </row>
    <row r="101" ht="13.5" spans="1:11">
      <c r="A101" s="52">
        <v>125</v>
      </c>
      <c r="B101" s="32" t="s">
        <v>191</v>
      </c>
      <c r="C101" s="33">
        <v>60</v>
      </c>
      <c r="D101" s="34" t="s">
        <v>192</v>
      </c>
      <c r="E101" s="34" t="s">
        <v>40</v>
      </c>
      <c r="F101" s="35">
        <v>5.9</v>
      </c>
      <c r="G101" s="35">
        <v>6.5</v>
      </c>
      <c r="H101" s="33" t="s">
        <v>35</v>
      </c>
      <c r="I101" s="67">
        <v>554</v>
      </c>
      <c r="K101">
        <f>VLOOKUP(D101,'[1]17Z0006'!$B:$H,7,0)</f>
        <v>0.0202</v>
      </c>
    </row>
    <row r="102" ht="13.5" spans="1:11">
      <c r="A102" s="52">
        <v>102</v>
      </c>
      <c r="B102" s="32" t="s">
        <v>193</v>
      </c>
      <c r="C102" s="33">
        <v>73</v>
      </c>
      <c r="D102" s="34" t="s">
        <v>194</v>
      </c>
      <c r="E102" s="34" t="s">
        <v>40</v>
      </c>
      <c r="F102" s="35">
        <v>3.8</v>
      </c>
      <c r="G102" s="35">
        <v>4.2</v>
      </c>
      <c r="H102" s="33" t="s">
        <v>35</v>
      </c>
      <c r="I102" s="67">
        <v>857</v>
      </c>
      <c r="K102">
        <f>VLOOKUP(D102,'[1]17Z0006'!$B:$H,7,0)</f>
        <v>0.013</v>
      </c>
    </row>
    <row r="103" ht="13.5" spans="1:11">
      <c r="A103" s="45">
        <v>99</v>
      </c>
      <c r="B103" s="44" t="s">
        <v>204</v>
      </c>
      <c r="C103" s="33">
        <v>75</v>
      </c>
      <c r="D103" s="34" t="s">
        <v>205</v>
      </c>
      <c r="E103" s="34" t="s">
        <v>40</v>
      </c>
      <c r="F103" s="35">
        <v>3.8</v>
      </c>
      <c r="G103" s="35">
        <v>4.2</v>
      </c>
      <c r="H103" s="33" t="s">
        <v>35</v>
      </c>
      <c r="I103" s="67">
        <v>857</v>
      </c>
      <c r="K103">
        <f>VLOOKUP(D103,'[1]17Z0006'!$B:$H,7,0)</f>
        <v>0.013</v>
      </c>
    </row>
    <row r="104" ht="48" spans="1:11">
      <c r="A104" s="52">
        <v>131</v>
      </c>
      <c r="B104" s="32" t="s">
        <v>206</v>
      </c>
      <c r="C104" s="33">
        <v>61</v>
      </c>
      <c r="D104" s="34" t="s">
        <v>207</v>
      </c>
      <c r="E104" s="34" t="s">
        <v>40</v>
      </c>
      <c r="F104" s="35">
        <v>9.4</v>
      </c>
      <c r="G104" s="35">
        <v>10.3</v>
      </c>
      <c r="H104" s="33" t="s">
        <v>35</v>
      </c>
      <c r="I104" s="67">
        <v>350</v>
      </c>
      <c r="K104">
        <f>VLOOKUP(D104,'[1]17Z0006'!$B:$H,7,0)</f>
        <v>0.0319</v>
      </c>
    </row>
    <row r="105" ht="13.5" spans="1:11">
      <c r="A105" s="52">
        <v>169</v>
      </c>
      <c r="B105" s="32" t="s">
        <v>208</v>
      </c>
      <c r="C105" s="33">
        <v>62</v>
      </c>
      <c r="D105" s="34" t="s">
        <v>208</v>
      </c>
      <c r="E105" s="34" t="s">
        <v>40</v>
      </c>
      <c r="F105" s="35">
        <v>0.9</v>
      </c>
      <c r="G105" s="35">
        <v>1</v>
      </c>
      <c r="H105" s="33" t="s">
        <v>35</v>
      </c>
      <c r="I105" s="67">
        <v>3600</v>
      </c>
      <c r="K105">
        <f>VLOOKUP(D105,'[1]17Z0006'!$B:$H,7,0)</f>
        <v>0.0031</v>
      </c>
    </row>
    <row r="107" spans="1:9">
      <c r="A107" s="1" t="s">
        <v>209</v>
      </c>
      <c r="C107" s="1"/>
      <c r="D107" s="108"/>
      <c r="E107" s="1"/>
      <c r="F107" s="1"/>
      <c r="G107" s="1"/>
      <c r="H107" s="1"/>
      <c r="I107" s="1"/>
    </row>
    <row r="108" s="3" customFormat="1" spans="1:9">
      <c r="A108" s="109"/>
      <c r="B108" s="109"/>
      <c r="C108" s="109"/>
      <c r="D108" s="110"/>
      <c r="E108" s="109"/>
      <c r="F108" s="109"/>
      <c r="G108" s="109"/>
      <c r="H108" s="109"/>
      <c r="I108" s="109"/>
    </row>
    <row r="109" s="3" customFormat="1" spans="1:4">
      <c r="A109" s="109"/>
      <c r="B109" s="109"/>
      <c r="D109" s="110"/>
    </row>
  </sheetData>
  <autoFilter xmlns:etc="http://www.wps.cn/officeDocument/2017/etCustomData" ref="A20:CN107" etc:filterBottomFollowUsedRange="0">
    <extLst/>
  </autoFilter>
  <mergeCells count="46">
    <mergeCell ref="A1:I1"/>
    <mergeCell ref="A2:I2"/>
    <mergeCell ref="A3:I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A107:I107"/>
    <mergeCell ref="A108:I108"/>
    <mergeCell ref="A65:A66"/>
    <mergeCell ref="A78:A79"/>
    <mergeCell ref="B65:B66"/>
    <mergeCell ref="B78:B79"/>
    <mergeCell ref="D63:D64"/>
    <mergeCell ref="D69:D70"/>
    <mergeCell ref="D77:D78"/>
    <mergeCell ref="E63:E64"/>
    <mergeCell ref="E69:E70"/>
    <mergeCell ref="E77:E78"/>
    <mergeCell ref="F63:F64"/>
    <mergeCell ref="F69:F70"/>
    <mergeCell ref="F77:F78"/>
    <mergeCell ref="G63:G64"/>
    <mergeCell ref="G69:G70"/>
    <mergeCell ref="G77:G78"/>
    <mergeCell ref="H63:H64"/>
    <mergeCell ref="H69:H70"/>
    <mergeCell ref="H77:H78"/>
    <mergeCell ref="I63:I64"/>
    <mergeCell ref="I69:I70"/>
    <mergeCell ref="I77:I78"/>
    <mergeCell ref="J69:J70"/>
    <mergeCell ref="J77:J79"/>
    <mergeCell ref="G4:I19"/>
  </mergeCells>
  <conditionalFormatting sqref="A38">
    <cfRule type="duplicateValues" dxfId="0" priority="3"/>
  </conditionalFormatting>
  <conditionalFormatting sqref="A64">
    <cfRule type="duplicateValues" dxfId="0" priority="2"/>
  </conditionalFormatting>
  <conditionalFormatting sqref="A97">
    <cfRule type="duplicateValues" dxfId="0" priority="1"/>
  </conditionalFormatting>
  <conditionalFormatting sqref="A34:A35">
    <cfRule type="duplicateValues" dxfId="0" priority="4"/>
  </conditionalFormatting>
  <conditionalFormatting sqref="A21:A33 A36:A37 A39:A63 A80:A96 A65 A67:A78 A98:A105">
    <cfRule type="duplicateValues" dxfId="0" priority="5"/>
  </conditionalFormatting>
  <printOptions horizontalCentered="1"/>
  <pageMargins left="0.0791666666666667" right="0.0791666666666667" top="0.396527777777778" bottom="0.396527777777778" header="0.197916666666667" footer="0.197916666666667"/>
  <pageSetup paperSize="9" orientation="portrait"/>
  <headerFooter>
    <oddFooter>&amp;R&amp;D &amp;T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17Z0006 (2)</vt:lpstr>
      <vt:lpstr>17Z0006-财务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ღ᭄秀秀໑ຼ₀₂₃</cp:lastModifiedBy>
  <dcterms:created xsi:type="dcterms:W3CDTF">2025-06-23T09:44:00Z</dcterms:created>
  <dcterms:modified xsi:type="dcterms:W3CDTF">2025-08-20T07:25:18Z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0D287073B91B4295AFAFADE7D00E18D7_11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</Properties>
</file>