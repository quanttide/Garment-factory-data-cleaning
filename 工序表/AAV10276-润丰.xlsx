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" activeTab="1"/>
  </bookViews>
  <sheets>
    <sheet name="AAV10276" sheetId="1" state="hidden" r:id="rId1"/>
    <sheet name="AAV10276 (2)" sheetId="2" r:id="rId2"/>
  </sheets>
  <definedNames>
    <definedName name="_xlnm._FilterDatabase" localSheetId="0" hidden="1">'AAV10276'!$A$15:$CV$77</definedName>
    <definedName name="_xlnm.Print_Titles" localSheetId="0">'AAV10276'!$1:$12</definedName>
    <definedName name="_xlnm.Print_Area" localSheetId="0">'AAV10276'!$A$1:$I$77</definedName>
    <definedName name="_xlnm._FilterDatabase" localSheetId="1" hidden="1">'AAV10276 (2)'!$A$15:$CR$87</definedName>
    <definedName name="_xlnm.Print_Titles" localSheetId="1">'AAV10276 (2)'!$1:$12</definedName>
    <definedName name="_xlnm.Print_Area" localSheetId="1">'AAV10276 (2)'!$A$1:$I$87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<sst xmlns="http://schemas.openxmlformats.org/spreadsheetml/2006/main" count="510" uniqueCount="187">
  <si>
    <t>重庆尚上服饰有限公司</t>
  </si>
  <si>
    <t>款式工序表</t>
  </si>
  <si>
    <t>打印日期：2025-08-11 17:38:48</t>
  </si>
  <si>
    <t>导出日期：</t>
  </si>
  <si>
    <t>客户款号</t>
  </si>
  <si>
    <t>AAV10276</t>
  </si>
  <si>
    <t>款式描述：</t>
  </si>
  <si>
    <t>男士针织长裤，腰头多针橡筋穿腰绳，前侧袋拉链袋，前中假门襟，左右后机头，面领内有薄绒</t>
  </si>
  <si>
    <t>客　　户：</t>
  </si>
  <si>
    <t>鹿岛</t>
  </si>
  <si>
    <t>款式类型：</t>
  </si>
  <si>
    <t>长裤</t>
  </si>
  <si>
    <t>数　　量：</t>
  </si>
  <si>
    <t>车缝时间：</t>
  </si>
  <si>
    <t>车缝10.5台产</t>
  </si>
  <si>
    <t>总 单 价：</t>
  </si>
  <si>
    <t>分 析 员：</t>
  </si>
  <si>
    <t>品质要求：</t>
  </si>
  <si>
    <t>工序号</t>
  </si>
  <si>
    <t>工序名称</t>
  </si>
  <si>
    <t>机器类型</t>
  </si>
  <si>
    <t>基础时间</t>
  </si>
  <si>
    <t>GST时间</t>
  </si>
  <si>
    <t>工序等级</t>
  </si>
  <si>
    <t>小时指标</t>
  </si>
  <si>
    <t>1-裁床</t>
  </si>
  <si>
    <t>松面布</t>
  </si>
  <si>
    <t>手工松面布*1.10</t>
  </si>
  <si>
    <t>松布机</t>
  </si>
  <si>
    <t>E2</t>
  </si>
  <si>
    <t>拉面布</t>
  </si>
  <si>
    <t>拉布机拉面布*1.10</t>
  </si>
  <si>
    <t>拉布机</t>
  </si>
  <si>
    <t>E3</t>
  </si>
  <si>
    <t>裁面布</t>
  </si>
  <si>
    <t>电脑裁剪面布*9</t>
  </si>
  <si>
    <t>电脑裁床</t>
  </si>
  <si>
    <t>D4</t>
  </si>
  <si>
    <t>面布分包</t>
  </si>
  <si>
    <t>手工面布分包*9(小包）</t>
  </si>
  <si>
    <t>手工</t>
  </si>
  <si>
    <t>拉袋布</t>
  </si>
  <si>
    <t>拉布机拉袋布0.0867</t>
  </si>
  <si>
    <t>裁袋布</t>
  </si>
  <si>
    <t>电脑裁剪袋布*2</t>
  </si>
  <si>
    <t>电脑裁剪</t>
  </si>
  <si>
    <t>里布分包</t>
  </si>
  <si>
    <t>手工里布分包*2（大包）</t>
  </si>
  <si>
    <t>验片/配片</t>
  </si>
  <si>
    <t>手工面布验片/配补片*9</t>
  </si>
  <si>
    <t>打编号</t>
  </si>
  <si>
    <t>手工打面布编号*9</t>
  </si>
  <si>
    <t>下裁片</t>
  </si>
  <si>
    <t>2-腰头</t>
  </si>
  <si>
    <t>橡筋缩水</t>
  </si>
  <si>
    <t>橡筋缩水（米）</t>
  </si>
  <si>
    <t>E1</t>
  </si>
  <si>
    <t>手工量剪腰头橡筋</t>
  </si>
  <si>
    <t>手工量剪腰头橡筋*1</t>
  </si>
  <si>
    <t>平车拼接橡筋</t>
  </si>
  <si>
    <t>平车拼接橡筋*1</t>
  </si>
  <si>
    <t>电脑平车</t>
  </si>
  <si>
    <t>D2</t>
  </si>
  <si>
    <t>手工点腰头橡筋位*1</t>
  </si>
  <si>
    <t>点腰头橡筋位*1（带着做）</t>
  </si>
  <si>
    <t>腰头半成品打直眼1*2</t>
  </si>
  <si>
    <t>半成品开面腰直眼*2（车台定位）</t>
  </si>
  <si>
    <t>啤机</t>
  </si>
  <si>
    <t>E4</t>
  </si>
  <si>
    <t>拼接腰缝</t>
  </si>
  <si>
    <t>平车拼接腰缝*1</t>
  </si>
  <si>
    <t>平车开骨落橡筋包固腰头位</t>
  </si>
  <si>
    <t>#平车开骨落橡筋包固腰头位*2（前后竖订通  针脚调稀）</t>
  </si>
  <si>
    <t>C1</t>
  </si>
  <si>
    <t>多针车包橡筋压腰头多线</t>
  </si>
  <si>
    <t>#多针车包橡筋压腰头多线 （上裤架 已固定)</t>
  </si>
  <si>
    <t>多针橡筋车</t>
  </si>
  <si>
    <t>C4</t>
  </si>
  <si>
    <t>拆腰头前后中缝固定线</t>
  </si>
  <si>
    <t>#拆腰头前后中缝固定线</t>
  </si>
  <si>
    <t>手工点腰头位</t>
  </si>
  <si>
    <t>手工点腰头侧缝位*2</t>
  </si>
  <si>
    <t>3-前片</t>
  </si>
  <si>
    <t>手工模板落侧袋拉链</t>
  </si>
  <si>
    <t>手工模板落侧袋拉链*2（放袋布、拉链、大身）</t>
  </si>
  <si>
    <t>平车补前袋口拉链暗线一段</t>
  </si>
  <si>
    <t>平车补前袋口拉链暗线一段*2</t>
  </si>
  <si>
    <t>C2</t>
  </si>
  <si>
    <t>手工打刀口连暗封袋角</t>
  </si>
  <si>
    <t>手工打刀口连暗封袋角*2</t>
  </si>
  <si>
    <t>平车转角压袋口明线</t>
  </si>
  <si>
    <t>平车转角压袋口明线*2</t>
  </si>
  <si>
    <t>B1</t>
  </si>
  <si>
    <t>平车合侧缝一段连落拉链于袋口</t>
  </si>
  <si>
    <t>平车合侧缝一段连落拉链于袋口*2</t>
  </si>
  <si>
    <t>平车落袋布于侧袋拉链</t>
  </si>
  <si>
    <t>平车落袋布于侧袋拉链*2</t>
  </si>
  <si>
    <t>四线锁袋布</t>
  </si>
  <si>
    <t>#四线锁袋布*2</t>
  </si>
  <si>
    <t>电脑四线锁边车</t>
  </si>
  <si>
    <t>C3</t>
  </si>
  <si>
    <t>平车订袋布上方及侧方</t>
  </si>
  <si>
    <t>#平车订袋布上方及侧方*2（车台定位）</t>
  </si>
  <si>
    <t>四线合前浪及门襟位*1</t>
  </si>
  <si>
    <t>平车固定前门襟一段*1</t>
  </si>
  <si>
    <t>平车固定前门襟一段*1（车台定位）</t>
  </si>
  <si>
    <t>冚车压前浪明线*1</t>
  </si>
  <si>
    <t>冚车压前浪明线*1（侧缝已合）</t>
  </si>
  <si>
    <t>电脑单针双线冚车</t>
  </si>
  <si>
    <t>实样运左前门襟“J”型线</t>
  </si>
  <si>
    <t>B2</t>
  </si>
  <si>
    <t>4-后片</t>
  </si>
  <si>
    <t>四线合后机头*2</t>
  </si>
  <si>
    <t>#冚车压后机头明线*2</t>
  </si>
  <si>
    <t>#四线对位合后浪*1</t>
  </si>
  <si>
    <t>冚车压后浪明线</t>
  </si>
  <si>
    <t>冚车压后浪明线*1</t>
  </si>
  <si>
    <t>5-组合</t>
  </si>
  <si>
    <t>挂片</t>
  </si>
  <si>
    <t>挂片/配片</t>
  </si>
  <si>
    <t>四线合侧缝连袖底缝连放洗水标</t>
  </si>
  <si>
    <t>#四线合侧缝*2放洗标（已排肶）</t>
  </si>
  <si>
    <t>四线对位合底浪</t>
  </si>
  <si>
    <t>#四线对位合底浪*1</t>
  </si>
  <si>
    <t>平车上腰头暗线</t>
  </si>
  <si>
    <t>平车上腰头暗线*1（比侧袋高低）</t>
  </si>
  <si>
    <t>B3</t>
  </si>
  <si>
    <t>四线对位上腰</t>
  </si>
  <si>
    <t>#四线对位上腰头*1(比袋位）</t>
  </si>
  <si>
    <t>平车订码唛及挂耳于后中</t>
  </si>
  <si>
    <t>#平车订码唛及挂耳于后中*1（剪断挂耳）</t>
  </si>
  <si>
    <t>中烫实样还口折烫脚口止口</t>
  </si>
  <si>
    <t>中烫实样还口折烫脚口止口*2</t>
  </si>
  <si>
    <t>中烫（气烫）</t>
  </si>
  <si>
    <t>平车还口车脚口明线</t>
  </si>
  <si>
    <t>平车车脚口明线*2（已还口中烫）</t>
  </si>
  <si>
    <t>中查</t>
  </si>
  <si>
    <t>检验</t>
  </si>
  <si>
    <t>6-专机</t>
  </si>
  <si>
    <t>打枣</t>
  </si>
  <si>
    <t>打前袋口枣及后腰枣*6</t>
  </si>
  <si>
    <t>电脑打枣车</t>
  </si>
  <si>
    <t>穿腰绳</t>
  </si>
  <si>
    <t>#穿腰绳*1及比好长短</t>
  </si>
  <si>
    <t>尾部</t>
  </si>
  <si>
    <t>尾部收货</t>
  </si>
  <si>
    <t>验针</t>
  </si>
  <si>
    <t>大烫</t>
  </si>
  <si>
    <t>尾查</t>
  </si>
  <si>
    <t>折叠</t>
  </si>
  <si>
    <t>制表人：李小莉　　　　　审批：　　　　　审核：        批准：</t>
  </si>
  <si>
    <t>手工打袋口两端刀口连暗封袋角*2（袋布、面布分开打刀口）</t>
  </si>
  <si>
    <t>打袋布一边</t>
  </si>
  <si>
    <t>四线锁前袋口暗线止口*2</t>
  </si>
  <si>
    <t>====</t>
  </si>
  <si>
    <t>四线落底袋布合前袋布一周*2</t>
  </si>
  <si>
    <t>平车固定前袋侧方拉链连袋布上下转角腰口位*2</t>
  </si>
  <si>
    <t>平车压前浪明边线*1</t>
  </si>
  <si>
    <t>平车实样运左前门襟“J”型线*1</t>
  </si>
  <si>
    <t>平车压后机头明线*2</t>
  </si>
  <si>
    <t>平车压后浪明边线*1</t>
  </si>
  <si>
    <t>#平车排肶骨拉链袋一段*2（点机头位、到侧袋布底结束）</t>
  </si>
  <si>
    <t>四线对位合侧缝连落右侧洗标*2（车台定位、已排肶）</t>
  </si>
  <si>
    <t>四线锁腰头散口*1</t>
  </si>
  <si>
    <t>手工翻裤子到正面</t>
  </si>
  <si>
    <t>拆脚口</t>
  </si>
  <si>
    <t>返工工序</t>
  </si>
  <si>
    <t>车脚口</t>
  </si>
  <si>
    <r>
      <rPr>
        <sz val="11"/>
        <color theme="1"/>
        <rFont val="宋体"/>
        <charset val="134"/>
        <scheme val="minor"/>
      </rPr>
      <t>打前袋口枣及后腰枣、</t>
    </r>
    <r>
      <rPr>
        <sz val="11"/>
        <color rgb="FFFF0000"/>
        <rFont val="宋体"/>
        <charset val="134"/>
        <scheme val="minor"/>
      </rPr>
      <t>底浪*7</t>
    </r>
  </si>
  <si>
    <t>打前袋口枣</t>
  </si>
  <si>
    <t>#半成品打前袋枣2*2</t>
  </si>
  <si>
    <t>35工序分出来的</t>
  </si>
  <si>
    <t>打后腰枣、底浪枣</t>
  </si>
  <si>
    <t>打后腰枣、底浪*3</t>
  </si>
  <si>
    <t>烫脚口针孔印</t>
  </si>
  <si>
    <t>整烫（尾部）</t>
  </si>
  <si>
    <t>吸线毛</t>
  </si>
  <si>
    <t>吸线毛机吸线毛</t>
  </si>
  <si>
    <t>一查</t>
  </si>
  <si>
    <t>一查查剪</t>
  </si>
  <si>
    <t>二查查剪</t>
  </si>
  <si>
    <t>单件简易折叠（三折）</t>
  </si>
  <si>
    <t>分色/分码</t>
  </si>
  <si>
    <t>查码</t>
  </si>
  <si>
    <t>装箱</t>
  </si>
  <si>
    <t>单色单码入箱约25件(拉纸箱 封箱 装箱套大胶袋、放天地板、封箱 成品箱写箱内款号、颜色、重里、记录纸质表格、放箱)具体件数，纸箱装满为止</t>
  </si>
  <si>
    <t>拉箱入库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</si>
</sst>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 "/>
    <numFmt numFmtId="178" formatCode="0_ 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1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9" fillId="0" borderId="1" xfId="0" applyFont="1" applyBorder="1">
      <alignment vertical="center"/>
    </xf>
    <xf numFmtId="22" fontId="0" fillId="0" borderId="1" xfId="0" applyNumberFormat="1" applyFont="1" applyBorder="1" applyAlignment="1">
      <alignment horizontal="left" vertical="center"/>
    </xf>
    <xf numFmtId="0" fontId="0" fillId="0" borderId="1" xfId="0" applyFont="1" applyBorder="1">
      <alignment vertical="center"/>
    </xf>
    <xf numFmtId="49" fontId="0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6" fontId="0" fillId="0" borderId="1" xfId="0" applyNumberFormat="1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11" fillId="3" borderId="1" xfId="0" applyFont="1" applyFill="1" applyBorder="1">
      <alignment vertical="center"/>
    </xf>
    <xf numFmtId="0" fontId="11" fillId="0" borderId="1" xfId="0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vertical="center" wrapText="1"/>
    </xf>
    <xf numFmtId="177" fontId="0" fillId="0" borderId="1" xfId="0" applyNumberFormat="1" applyFont="1" applyBorder="1">
      <alignment vertical="center"/>
    </xf>
    <xf numFmtId="49" fontId="0" fillId="0" borderId="1" xfId="0" applyNumberFormat="1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vertical="center" wrapText="1"/>
    </xf>
    <xf numFmtId="178" fontId="0" fillId="0" borderId="1" xfId="0" applyNumberFormat="1" applyFont="1" applyBorder="1">
      <alignment vertical="center"/>
    </xf>
    <xf numFmtId="0" fontId="0" fillId="0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177" fontId="1" fillId="0" borderId="1" xfId="0" applyNumberFormat="1" applyFont="1" applyBorder="1">
      <alignment vertical="center"/>
    </xf>
    <xf numFmtId="177" fontId="0" fillId="0" borderId="1" xfId="0" applyNumberFormat="1" applyFont="1" applyFill="1" applyBorder="1">
      <alignment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/>
    </xf>
    <xf numFmtId="177" fontId="0" fillId="3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178" fontId="1" fillId="0" borderId="1" xfId="0" applyNumberFormat="1" applyFont="1" applyBorder="1">
      <alignment vertical="center"/>
    </xf>
    <xf numFmtId="0" fontId="12" fillId="0" borderId="0" xfId="0" applyFont="1">
      <alignment vertical="center"/>
    </xf>
    <xf numFmtId="0" fontId="0" fillId="0" borderId="0" xfId="0" applyFont="1" applyAlignment="1">
      <alignment horizontal="left" vertical="top" wrapText="1"/>
    </xf>
    <xf numFmtId="178" fontId="0" fillId="3" borderId="1" xfId="0" applyNumberFormat="1" applyFont="1" applyFill="1" applyBorder="1">
      <alignment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vertical="center" wrapText="1"/>
    </xf>
    <xf numFmtId="177" fontId="12" fillId="0" borderId="1" xfId="0" applyNumberFormat="1" applyFont="1" applyBorder="1">
      <alignment vertical="center"/>
    </xf>
    <xf numFmtId="178" fontId="12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41910</xdr:colOff>
      <xdr:row>4</xdr:row>
      <xdr:rowOff>12065</xdr:rowOff>
    </xdr:from>
    <xdr:to>
      <xdr:col>8</xdr:col>
      <xdr:colOff>442595</xdr:colOff>
      <xdr:row>12</xdr:row>
      <xdr:rowOff>91440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0345" y="935990"/>
          <a:ext cx="1438910" cy="1622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41910</xdr:colOff>
      <xdr:row>4</xdr:row>
      <xdr:rowOff>12065</xdr:rowOff>
    </xdr:from>
    <xdr:to>
      <xdr:col>8</xdr:col>
      <xdr:colOff>442595</xdr:colOff>
      <xdr:row>12</xdr:row>
      <xdr:rowOff>91440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0345" y="935990"/>
          <a:ext cx="1438910" cy="1622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26"/>
  <sheetViews>
    <sheetView view="pageBreakPreview" zoomScale="130" zoomScaleNormal="100" workbookViewId="0">
      <selection activeCell="J60" sqref="J59:J60"/>
    </sheetView>
  </sheetViews>
  <sheetFormatPr defaultColWidth="9" defaultRowHeight="14" customHeight="1"/>
  <cols>
    <col min="1" max="1" width="11.725" style="6" customWidth="1"/>
    <col min="2" max="2" width="19.2333333333333" style="5" customWidth="1"/>
    <col min="3" max="3" width="3.125" style="5" customWidth="1"/>
    <col min="4" max="4" width="28.8416666666667" style="5" customWidth="1"/>
    <col min="5" max="5" width="15.625" style="5" customWidth="1"/>
    <col min="6" max="6" width="7.125" style="5" customWidth="1"/>
    <col min="7" max="7" width="6.5" style="5" customWidth="1"/>
    <col min="8" max="9" width="7.125" style="5" customWidth="1"/>
    <col min="10" max="10" width="22.3" style="5" customWidth="1"/>
    <col min="11" max="99" width="9" style="5"/>
    <col min="100" max="100" width="59.625" style="5" customWidth="1"/>
    <col min="101" max="16384" width="9" style="5"/>
  </cols>
  <sheetData>
    <row r="1" s="1" customFormat="1" ht="25.5" spans="1:9">
      <c r="A1" s="7" t="s">
        <v>0</v>
      </c>
      <c r="B1" s="8"/>
      <c r="C1" s="8"/>
      <c r="D1" s="9"/>
      <c r="E1" s="9"/>
      <c r="F1" s="9"/>
      <c r="G1" s="9"/>
      <c r="H1" s="9"/>
      <c r="I1" s="9"/>
    </row>
    <row r="2" s="1" customFormat="1" ht="20.25" spans="1:9">
      <c r="A2" s="10" t="s">
        <v>1</v>
      </c>
      <c r="B2" s="11"/>
      <c r="C2" s="11"/>
      <c r="D2" s="12"/>
      <c r="E2" s="12"/>
      <c r="F2" s="12"/>
      <c r="G2" s="12"/>
      <c r="H2" s="12"/>
      <c r="I2" s="12"/>
    </row>
    <row r="3" s="2" customFormat="1" ht="13.5" spans="1:9">
      <c r="A3" s="13" t="s">
        <v>2</v>
      </c>
      <c r="B3" s="14"/>
      <c r="C3" s="14"/>
      <c r="D3" s="14"/>
      <c r="E3" s="14"/>
      <c r="F3" s="14"/>
      <c r="G3" s="14"/>
      <c r="H3" s="14"/>
      <c r="I3" s="14"/>
    </row>
    <row r="4" s="2" customFormat="1" ht="13.5" spans="1:9">
      <c r="A4" s="15" t="s">
        <v>3</v>
      </c>
      <c r="B4" s="16">
        <v>45880.7352777778</v>
      </c>
      <c r="C4" s="16"/>
      <c r="D4" s="16"/>
      <c r="E4" s="16"/>
      <c r="F4" s="16"/>
      <c r="G4" s="17"/>
      <c r="H4" s="17"/>
      <c r="I4" s="17"/>
    </row>
    <row r="5" s="2" customFormat="1" ht="13.5" spans="1:9">
      <c r="A5" s="15" t="s">
        <v>4</v>
      </c>
      <c r="B5" s="18" t="s">
        <v>5</v>
      </c>
      <c r="C5" s="18"/>
      <c r="D5" s="18"/>
      <c r="E5" s="18"/>
      <c r="F5" s="18"/>
      <c r="G5" s="17"/>
      <c r="H5" s="17"/>
      <c r="I5" s="17"/>
    </row>
    <row r="6" s="2" customFormat="1" ht="13.5" spans="1:9">
      <c r="A6" s="15" t="s">
        <v>6</v>
      </c>
      <c r="B6" s="19" t="s">
        <v>7</v>
      </c>
      <c r="C6" s="19"/>
      <c r="D6" s="19"/>
      <c r="E6" s="19"/>
      <c r="F6" s="19"/>
      <c r="G6" s="17"/>
      <c r="H6" s="17"/>
      <c r="I6" s="17"/>
    </row>
    <row r="7" s="2" customFormat="1" ht="13.5" spans="1:100">
      <c r="A7" s="15" t="s">
        <v>8</v>
      </c>
      <c r="B7" s="14" t="s">
        <v>9</v>
      </c>
      <c r="C7" s="14"/>
      <c r="D7" s="14"/>
      <c r="E7" s="14"/>
      <c r="F7" s="14"/>
      <c r="G7" s="17"/>
      <c r="H7" s="17"/>
      <c r="I7" s="17"/>
      <c r="CV7" s="36"/>
    </row>
    <row r="8" s="2" customFormat="1" ht="13.5" spans="1:100">
      <c r="A8" s="15" t="s">
        <v>10</v>
      </c>
      <c r="B8" s="14" t="s">
        <v>11</v>
      </c>
      <c r="C8" s="14"/>
      <c r="D8" s="14"/>
      <c r="E8" s="14"/>
      <c r="F8" s="14"/>
      <c r="G8" s="17"/>
      <c r="H8" s="17"/>
      <c r="I8" s="17"/>
      <c r="CV8" s="36"/>
    </row>
    <row r="9" s="2" customFormat="1" ht="13.5" spans="1:9">
      <c r="A9" s="15" t="s">
        <v>12</v>
      </c>
      <c r="B9" s="14">
        <v>20581</v>
      </c>
      <c r="C9" s="14"/>
      <c r="D9" s="14"/>
      <c r="E9" s="14"/>
      <c r="F9" s="14"/>
      <c r="G9" s="17"/>
      <c r="H9" s="17"/>
      <c r="I9" s="17"/>
    </row>
    <row r="10" s="2" customFormat="1" ht="13.5" spans="1:9">
      <c r="A10" s="20" t="s">
        <v>13</v>
      </c>
      <c r="B10" s="14">
        <f>SUM(G29:G50,G52:G55,G58:G64)</f>
        <v>807.1</v>
      </c>
      <c r="C10" s="14"/>
      <c r="D10" s="14"/>
      <c r="E10" s="14"/>
      <c r="F10" s="14"/>
      <c r="G10" s="17"/>
      <c r="H10" s="17"/>
      <c r="I10" s="17"/>
    </row>
    <row r="11" s="2" customFormat="1" ht="27" spans="1:9">
      <c r="A11" s="21" t="s">
        <v>14</v>
      </c>
      <c r="B11" s="22">
        <f>10.5*60*60/B10</f>
        <v>46.8343451864701</v>
      </c>
      <c r="C11" s="22"/>
      <c r="D11" s="22"/>
      <c r="E11" s="22"/>
      <c r="F11" s="22"/>
      <c r="G11" s="17"/>
      <c r="H11" s="17"/>
      <c r="I11" s="17"/>
    </row>
    <row r="12" s="2" customFormat="1" ht="13.5" spans="1:9">
      <c r="A12" s="20" t="s">
        <v>15</v>
      </c>
      <c r="B12" s="14"/>
      <c r="C12" s="14"/>
      <c r="D12" s="14"/>
      <c r="E12" s="14"/>
      <c r="F12" s="14"/>
      <c r="G12" s="17"/>
      <c r="H12" s="17"/>
      <c r="I12" s="17"/>
    </row>
    <row r="13" s="2" customFormat="1" ht="13.5" spans="1:9">
      <c r="A13" s="15" t="s">
        <v>16</v>
      </c>
      <c r="B13" s="14"/>
      <c r="C13" s="14"/>
      <c r="D13" s="14"/>
      <c r="E13" s="14"/>
      <c r="F13" s="14"/>
      <c r="G13" s="17"/>
      <c r="H13" s="17"/>
      <c r="I13" s="17"/>
    </row>
    <row r="14" s="2" customFormat="1" ht="13.5" spans="1:9">
      <c r="A14" s="15" t="s">
        <v>17</v>
      </c>
      <c r="B14" s="19"/>
      <c r="C14" s="19"/>
      <c r="D14" s="19"/>
      <c r="E14" s="19"/>
      <c r="F14" s="19"/>
      <c r="G14" s="17"/>
      <c r="H14" s="17"/>
      <c r="I14" s="17"/>
    </row>
    <row r="15" s="3" customFormat="1" ht="12" spans="1:9">
      <c r="A15" s="23" t="s">
        <v>18</v>
      </c>
      <c r="B15" s="24" t="s">
        <v>19</v>
      </c>
      <c r="C15" s="24"/>
      <c r="D15" s="24"/>
      <c r="E15" s="24" t="s">
        <v>20</v>
      </c>
      <c r="F15" s="24" t="s">
        <v>21</v>
      </c>
      <c r="G15" s="24" t="s">
        <v>22</v>
      </c>
      <c r="H15" s="24" t="s">
        <v>23</v>
      </c>
      <c r="I15" s="24" t="s">
        <v>24</v>
      </c>
    </row>
    <row r="16" ht="13.5" spans="1:9">
      <c r="A16" s="25"/>
      <c r="B16" s="26" t="s">
        <v>25</v>
      </c>
      <c r="C16" s="17"/>
      <c r="D16" s="27" t="s">
        <v>25</v>
      </c>
      <c r="E16" s="27"/>
      <c r="F16" s="27"/>
      <c r="G16" s="27"/>
      <c r="H16" s="27"/>
      <c r="I16" s="27"/>
    </row>
    <row r="17" ht="13.5" spans="1:9">
      <c r="A17" s="28"/>
      <c r="B17" s="29" t="s">
        <v>26</v>
      </c>
      <c r="C17" s="30">
        <v>1</v>
      </c>
      <c r="D17" s="31" t="s">
        <v>27</v>
      </c>
      <c r="E17" s="31" t="s">
        <v>28</v>
      </c>
      <c r="F17" s="32">
        <v>7.5</v>
      </c>
      <c r="G17" s="32">
        <v>8.4</v>
      </c>
      <c r="H17" s="30" t="s">
        <v>29</v>
      </c>
      <c r="I17" s="35">
        <v>429</v>
      </c>
    </row>
    <row r="18" ht="13.5" spans="1:9">
      <c r="A18" s="28">
        <v>155</v>
      </c>
      <c r="B18" s="29" t="s">
        <v>30</v>
      </c>
      <c r="C18" s="30">
        <v>2</v>
      </c>
      <c r="D18" s="31" t="s">
        <v>31</v>
      </c>
      <c r="E18" s="31" t="s">
        <v>32</v>
      </c>
      <c r="F18" s="32">
        <v>14</v>
      </c>
      <c r="G18" s="32">
        <v>15.7</v>
      </c>
      <c r="H18" s="30" t="s">
        <v>33</v>
      </c>
      <c r="I18" s="35">
        <v>229</v>
      </c>
    </row>
    <row r="19" ht="13.5" spans="1:9">
      <c r="A19" s="28">
        <v>2</v>
      </c>
      <c r="B19" s="29" t="s">
        <v>34</v>
      </c>
      <c r="C19" s="30">
        <v>3</v>
      </c>
      <c r="D19" s="31" t="s">
        <v>35</v>
      </c>
      <c r="E19" s="31" t="s">
        <v>36</v>
      </c>
      <c r="F19" s="32">
        <v>8.6</v>
      </c>
      <c r="G19" s="32">
        <v>9.5</v>
      </c>
      <c r="H19" s="30" t="s">
        <v>37</v>
      </c>
      <c r="I19" s="35">
        <v>379</v>
      </c>
    </row>
    <row r="20" ht="13.5" spans="1:9">
      <c r="A20" s="28">
        <v>5</v>
      </c>
      <c r="B20" s="29" t="s">
        <v>38</v>
      </c>
      <c r="C20" s="30">
        <v>4</v>
      </c>
      <c r="D20" s="31" t="s">
        <v>39</v>
      </c>
      <c r="E20" s="31" t="s">
        <v>40</v>
      </c>
      <c r="F20" s="32">
        <v>10.2</v>
      </c>
      <c r="G20" s="32">
        <v>11.3</v>
      </c>
      <c r="H20" s="30" t="s">
        <v>29</v>
      </c>
      <c r="I20" s="35">
        <v>319</v>
      </c>
    </row>
    <row r="21" ht="13.5" spans="1:9">
      <c r="A21" s="28">
        <v>6</v>
      </c>
      <c r="B21" s="29" t="s">
        <v>41</v>
      </c>
      <c r="C21" s="30">
        <v>5</v>
      </c>
      <c r="D21" s="31" t="s">
        <v>42</v>
      </c>
      <c r="E21" s="31" t="s">
        <v>32</v>
      </c>
      <c r="F21" s="32">
        <v>1.1</v>
      </c>
      <c r="G21" s="32">
        <v>1.2</v>
      </c>
      <c r="H21" s="30" t="s">
        <v>33</v>
      </c>
      <c r="I21" s="35">
        <v>3000</v>
      </c>
    </row>
    <row r="22" ht="13.5" spans="1:9">
      <c r="A22" s="28">
        <v>9</v>
      </c>
      <c r="B22" s="29" t="s">
        <v>43</v>
      </c>
      <c r="C22" s="30">
        <v>6</v>
      </c>
      <c r="D22" s="31" t="s">
        <v>44</v>
      </c>
      <c r="E22" s="31" t="s">
        <v>45</v>
      </c>
      <c r="F22" s="32">
        <v>2.1</v>
      </c>
      <c r="G22" s="32">
        <v>2.1</v>
      </c>
      <c r="H22" s="30" t="s">
        <v>37</v>
      </c>
      <c r="I22" s="35">
        <v>1714</v>
      </c>
    </row>
    <row r="23" ht="13.5" spans="1:9">
      <c r="A23" s="28">
        <v>7</v>
      </c>
      <c r="B23" s="29" t="s">
        <v>46</v>
      </c>
      <c r="C23" s="30">
        <v>7</v>
      </c>
      <c r="D23" s="31" t="s">
        <v>47</v>
      </c>
      <c r="E23" s="31" t="s">
        <v>40</v>
      </c>
      <c r="F23" s="32">
        <v>0.9</v>
      </c>
      <c r="G23" s="32">
        <v>1</v>
      </c>
      <c r="H23" s="30" t="s">
        <v>29</v>
      </c>
      <c r="I23" s="35">
        <v>3600</v>
      </c>
    </row>
    <row r="24" ht="13.5" spans="1:9">
      <c r="A24" s="28">
        <v>170</v>
      </c>
      <c r="B24" s="29" t="s">
        <v>48</v>
      </c>
      <c r="C24" s="30">
        <v>8</v>
      </c>
      <c r="D24" s="31" t="s">
        <v>49</v>
      </c>
      <c r="E24" s="31" t="s">
        <v>40</v>
      </c>
      <c r="F24" s="32">
        <v>19.7</v>
      </c>
      <c r="G24" s="32">
        <v>21.8</v>
      </c>
      <c r="H24" s="30" t="s">
        <v>33</v>
      </c>
      <c r="I24" s="35">
        <v>165</v>
      </c>
    </row>
    <row r="25" ht="13.5" spans="1:9">
      <c r="A25" s="28">
        <v>16</v>
      </c>
      <c r="B25" s="29" t="s">
        <v>50</v>
      </c>
      <c r="C25" s="30">
        <v>9</v>
      </c>
      <c r="D25" s="31" t="s">
        <v>51</v>
      </c>
      <c r="E25" s="31" t="s">
        <v>40</v>
      </c>
      <c r="F25" s="32">
        <v>10.7</v>
      </c>
      <c r="G25" s="32">
        <v>11.8</v>
      </c>
      <c r="H25" s="30" t="s">
        <v>29</v>
      </c>
      <c r="I25" s="35">
        <v>305</v>
      </c>
    </row>
    <row r="26" ht="13.5" spans="1:9">
      <c r="A26" s="28">
        <v>11</v>
      </c>
      <c r="B26" s="29" t="s">
        <v>52</v>
      </c>
      <c r="C26" s="30"/>
      <c r="D26" s="31"/>
      <c r="E26" s="31"/>
      <c r="F26" s="32"/>
      <c r="G26" s="32"/>
      <c r="H26" s="30"/>
      <c r="I26" s="35"/>
    </row>
    <row r="27" ht="13.5" spans="1:9">
      <c r="A27" s="25"/>
      <c r="B27" s="26" t="s">
        <v>53</v>
      </c>
      <c r="C27" s="17"/>
      <c r="D27" s="27" t="s">
        <v>53</v>
      </c>
      <c r="E27" s="27"/>
      <c r="F27" s="27"/>
      <c r="G27" s="27"/>
      <c r="H27" s="27"/>
      <c r="I27" s="27"/>
    </row>
    <row r="28" ht="13.5" spans="1:9">
      <c r="A28" s="28">
        <v>14</v>
      </c>
      <c r="B28" s="29" t="s">
        <v>54</v>
      </c>
      <c r="C28" s="30">
        <v>10</v>
      </c>
      <c r="D28" s="31" t="s">
        <v>55</v>
      </c>
      <c r="E28" s="31" t="s">
        <v>40</v>
      </c>
      <c r="F28" s="32">
        <v>1.3</v>
      </c>
      <c r="G28" s="32">
        <v>1.4</v>
      </c>
      <c r="H28" s="30" t="s">
        <v>56</v>
      </c>
      <c r="I28" s="35">
        <v>2571</v>
      </c>
    </row>
    <row r="29" ht="13.5" spans="1:9">
      <c r="A29" s="28">
        <v>46</v>
      </c>
      <c r="B29" s="31" t="s">
        <v>57</v>
      </c>
      <c r="C29" s="30">
        <v>11</v>
      </c>
      <c r="D29" s="31" t="s">
        <v>58</v>
      </c>
      <c r="E29" s="31" t="s">
        <v>40</v>
      </c>
      <c r="F29" s="32">
        <v>2.9</v>
      </c>
      <c r="G29" s="32">
        <v>3.2</v>
      </c>
      <c r="H29" s="30" t="s">
        <v>56</v>
      </c>
      <c r="I29" s="35">
        <v>1125</v>
      </c>
    </row>
    <row r="30" ht="13.5" spans="1:9">
      <c r="A30" s="28">
        <v>47</v>
      </c>
      <c r="B30" s="31" t="s">
        <v>59</v>
      </c>
      <c r="C30" s="30">
        <v>12</v>
      </c>
      <c r="D30" s="31" t="s">
        <v>60</v>
      </c>
      <c r="E30" s="31" t="s">
        <v>61</v>
      </c>
      <c r="F30" s="32">
        <v>7.2</v>
      </c>
      <c r="G30" s="32">
        <v>8</v>
      </c>
      <c r="H30" s="30" t="s">
        <v>62</v>
      </c>
      <c r="I30" s="35">
        <v>450</v>
      </c>
    </row>
    <row r="31" s="2" customFormat="1" ht="13.5" spans="1:9">
      <c r="A31" s="28">
        <v>15</v>
      </c>
      <c r="B31" s="29" t="s">
        <v>63</v>
      </c>
      <c r="C31" s="30">
        <v>13</v>
      </c>
      <c r="D31" s="31" t="s">
        <v>64</v>
      </c>
      <c r="E31" s="31" t="s">
        <v>40</v>
      </c>
      <c r="F31" s="32">
        <v>2.6</v>
      </c>
      <c r="G31" s="32">
        <v>2.9</v>
      </c>
      <c r="H31" s="30" t="s">
        <v>56</v>
      </c>
      <c r="I31" s="35">
        <v>1241</v>
      </c>
    </row>
    <row r="32" s="2" customFormat="1" ht="27" spans="1:9">
      <c r="A32" s="28">
        <v>18</v>
      </c>
      <c r="B32" s="29" t="s">
        <v>65</v>
      </c>
      <c r="C32" s="30">
        <v>14</v>
      </c>
      <c r="D32" s="31" t="s">
        <v>66</v>
      </c>
      <c r="E32" s="31" t="s">
        <v>67</v>
      </c>
      <c r="F32" s="32">
        <v>10.7</v>
      </c>
      <c r="G32" s="32">
        <v>11.9</v>
      </c>
      <c r="H32" s="30" t="s">
        <v>68</v>
      </c>
      <c r="I32" s="35">
        <v>303</v>
      </c>
    </row>
    <row r="33" s="2" customFormat="1" ht="13.5" spans="1:9">
      <c r="A33" s="28">
        <v>17</v>
      </c>
      <c r="B33" s="29" t="s">
        <v>69</v>
      </c>
      <c r="C33" s="30">
        <v>15</v>
      </c>
      <c r="D33" s="31" t="s">
        <v>70</v>
      </c>
      <c r="E33" s="31" t="s">
        <v>61</v>
      </c>
      <c r="F33" s="32">
        <v>9.5</v>
      </c>
      <c r="G33" s="32">
        <v>10.7</v>
      </c>
      <c r="H33" s="30" t="s">
        <v>37</v>
      </c>
      <c r="I33" s="35">
        <v>336</v>
      </c>
    </row>
    <row r="34" ht="27" spans="1:9">
      <c r="A34" s="28">
        <v>24</v>
      </c>
      <c r="B34" s="29" t="s">
        <v>71</v>
      </c>
      <c r="C34" s="30">
        <v>16</v>
      </c>
      <c r="D34" s="31" t="s">
        <v>72</v>
      </c>
      <c r="E34" s="31" t="s">
        <v>61</v>
      </c>
      <c r="F34" s="32">
        <v>25.3</v>
      </c>
      <c r="G34" s="32">
        <v>28.1</v>
      </c>
      <c r="H34" s="30" t="s">
        <v>73</v>
      </c>
      <c r="I34" s="35">
        <v>128</v>
      </c>
    </row>
    <row r="35" ht="27" spans="1:9">
      <c r="A35" s="28">
        <v>25</v>
      </c>
      <c r="B35" s="29" t="s">
        <v>74</v>
      </c>
      <c r="C35" s="30">
        <v>17</v>
      </c>
      <c r="D35" s="31" t="s">
        <v>75</v>
      </c>
      <c r="E35" s="31" t="s">
        <v>76</v>
      </c>
      <c r="F35" s="32">
        <v>31.4</v>
      </c>
      <c r="G35" s="32">
        <v>35.8</v>
      </c>
      <c r="H35" s="30" t="s">
        <v>77</v>
      </c>
      <c r="I35" s="35">
        <v>101</v>
      </c>
    </row>
    <row r="36" ht="27" spans="1:9">
      <c r="A36" s="28">
        <v>20</v>
      </c>
      <c r="B36" s="29" t="s">
        <v>78</v>
      </c>
      <c r="C36" s="30">
        <v>18</v>
      </c>
      <c r="D36" s="31" t="s">
        <v>79</v>
      </c>
      <c r="E36" s="31" t="s">
        <v>40</v>
      </c>
      <c r="F36" s="32">
        <v>9</v>
      </c>
      <c r="G36" s="32">
        <v>9.9</v>
      </c>
      <c r="H36" s="30" t="s">
        <v>56</v>
      </c>
      <c r="I36" s="35">
        <v>364</v>
      </c>
    </row>
    <row r="37" ht="13.5" spans="1:9">
      <c r="A37" s="28">
        <v>26</v>
      </c>
      <c r="B37" s="29" t="s">
        <v>80</v>
      </c>
      <c r="C37" s="30">
        <v>19</v>
      </c>
      <c r="D37" s="31" t="s">
        <v>81</v>
      </c>
      <c r="E37" s="31" t="s">
        <v>40</v>
      </c>
      <c r="F37" s="32">
        <v>6.1</v>
      </c>
      <c r="G37" s="32">
        <v>6.8</v>
      </c>
      <c r="H37" s="30" t="s">
        <v>56</v>
      </c>
      <c r="I37" s="35">
        <v>529</v>
      </c>
    </row>
    <row r="38" ht="13.5" spans="1:9">
      <c r="A38" s="25"/>
      <c r="B38" s="26" t="s">
        <v>82</v>
      </c>
      <c r="C38" s="17"/>
      <c r="D38" s="27" t="s">
        <v>82</v>
      </c>
      <c r="E38" s="27"/>
      <c r="F38" s="27"/>
      <c r="G38" s="27"/>
      <c r="H38" s="27"/>
      <c r="I38" s="27"/>
    </row>
    <row r="39" ht="27" customHeight="1" spans="1:9">
      <c r="A39" s="28">
        <v>23</v>
      </c>
      <c r="B39" s="29" t="s">
        <v>83</v>
      </c>
      <c r="C39" s="30">
        <v>21</v>
      </c>
      <c r="D39" s="31" t="s">
        <v>84</v>
      </c>
      <c r="E39" s="31" t="s">
        <v>61</v>
      </c>
      <c r="F39" s="32">
        <v>40.7</v>
      </c>
      <c r="G39" s="32">
        <v>45.3</v>
      </c>
      <c r="H39" s="30" t="s">
        <v>73</v>
      </c>
      <c r="I39" s="35">
        <v>79</v>
      </c>
    </row>
    <row r="40" ht="27" customHeight="1" spans="1:9">
      <c r="A40" s="28">
        <v>22</v>
      </c>
      <c r="B40" s="33" t="s">
        <v>85</v>
      </c>
      <c r="C40" s="30">
        <v>65</v>
      </c>
      <c r="D40" s="31" t="s">
        <v>86</v>
      </c>
      <c r="E40" s="31" t="s">
        <v>61</v>
      </c>
      <c r="F40" s="32">
        <v>13</v>
      </c>
      <c r="G40" s="32">
        <v>14.5</v>
      </c>
      <c r="H40" s="30" t="s">
        <v>87</v>
      </c>
      <c r="I40" s="35">
        <v>248</v>
      </c>
    </row>
    <row r="41" ht="27" spans="1:9">
      <c r="A41" s="28">
        <v>28</v>
      </c>
      <c r="B41" s="29" t="s">
        <v>88</v>
      </c>
      <c r="C41" s="30">
        <v>22</v>
      </c>
      <c r="D41" s="31" t="s">
        <v>89</v>
      </c>
      <c r="E41" s="31" t="s">
        <v>61</v>
      </c>
      <c r="F41" s="32">
        <v>34.8</v>
      </c>
      <c r="G41" s="32">
        <v>38.6</v>
      </c>
      <c r="H41" s="30" t="s">
        <v>77</v>
      </c>
      <c r="I41" s="35">
        <v>93</v>
      </c>
    </row>
    <row r="42" ht="13.5" spans="1:9">
      <c r="A42" s="28">
        <v>29</v>
      </c>
      <c r="B42" s="29" t="s">
        <v>90</v>
      </c>
      <c r="C42" s="30">
        <v>23</v>
      </c>
      <c r="D42" s="31" t="s">
        <v>91</v>
      </c>
      <c r="E42" s="31" t="s">
        <v>61</v>
      </c>
      <c r="F42" s="32">
        <v>25.6</v>
      </c>
      <c r="G42" s="32">
        <v>29</v>
      </c>
      <c r="H42" s="30" t="s">
        <v>92</v>
      </c>
      <c r="I42" s="35">
        <v>124</v>
      </c>
    </row>
    <row r="43" ht="27" spans="1:9">
      <c r="A43" s="41">
        <v>30</v>
      </c>
      <c r="B43" s="42" t="s">
        <v>93</v>
      </c>
      <c r="C43" s="54">
        <v>24</v>
      </c>
      <c r="D43" s="55" t="s">
        <v>94</v>
      </c>
      <c r="E43" s="55" t="s">
        <v>61</v>
      </c>
      <c r="F43" s="56">
        <v>35.5</v>
      </c>
      <c r="G43" s="56">
        <v>39.8</v>
      </c>
      <c r="H43" s="54" t="s">
        <v>92</v>
      </c>
      <c r="I43" s="57">
        <v>90</v>
      </c>
    </row>
    <row r="44" ht="27" spans="1:9">
      <c r="A44" s="41">
        <v>36</v>
      </c>
      <c r="B44" s="42" t="s">
        <v>95</v>
      </c>
      <c r="C44" s="54">
        <v>25</v>
      </c>
      <c r="D44" s="55" t="s">
        <v>96</v>
      </c>
      <c r="E44" s="55" t="s">
        <v>61</v>
      </c>
      <c r="F44" s="56">
        <v>31.2</v>
      </c>
      <c r="G44" s="56">
        <v>35</v>
      </c>
      <c r="H44" s="54" t="s">
        <v>77</v>
      </c>
      <c r="I44" s="57">
        <v>103</v>
      </c>
    </row>
    <row r="45" ht="13.5" spans="1:9">
      <c r="A45" s="28">
        <v>63</v>
      </c>
      <c r="B45" s="29" t="s">
        <v>97</v>
      </c>
      <c r="C45" s="30">
        <v>26</v>
      </c>
      <c r="D45" s="31" t="s">
        <v>98</v>
      </c>
      <c r="E45" s="31" t="s">
        <v>99</v>
      </c>
      <c r="F45" s="32">
        <v>32.3</v>
      </c>
      <c r="G45" s="32">
        <v>36.3</v>
      </c>
      <c r="H45" s="30" t="s">
        <v>100</v>
      </c>
      <c r="I45" s="35">
        <v>99</v>
      </c>
    </row>
    <row r="46" ht="27" spans="1:9">
      <c r="A46" s="28">
        <v>59</v>
      </c>
      <c r="B46" s="29" t="s">
        <v>101</v>
      </c>
      <c r="C46" s="30">
        <v>27</v>
      </c>
      <c r="D46" s="31" t="s">
        <v>102</v>
      </c>
      <c r="E46" s="31" t="s">
        <v>61</v>
      </c>
      <c r="F46" s="32">
        <v>26.1</v>
      </c>
      <c r="G46" s="32">
        <v>29.3</v>
      </c>
      <c r="H46" s="30" t="s">
        <v>87</v>
      </c>
      <c r="I46" s="35">
        <v>123</v>
      </c>
    </row>
    <row r="47" ht="27" spans="1:9">
      <c r="A47" s="28">
        <v>61</v>
      </c>
      <c r="B47" s="29" t="s">
        <v>103</v>
      </c>
      <c r="C47" s="30">
        <v>28</v>
      </c>
      <c r="D47" s="31" t="s">
        <v>103</v>
      </c>
      <c r="E47" s="31" t="s">
        <v>99</v>
      </c>
      <c r="F47" s="32">
        <v>15.7</v>
      </c>
      <c r="G47" s="32">
        <v>17.5</v>
      </c>
      <c r="H47" s="30" t="s">
        <v>100</v>
      </c>
      <c r="I47" s="35">
        <v>206</v>
      </c>
    </row>
    <row r="48" ht="27" spans="1:9">
      <c r="A48" s="28">
        <v>62</v>
      </c>
      <c r="B48" s="29" t="s">
        <v>104</v>
      </c>
      <c r="C48" s="30">
        <v>29</v>
      </c>
      <c r="D48" s="31" t="s">
        <v>105</v>
      </c>
      <c r="E48" s="31" t="s">
        <v>61</v>
      </c>
      <c r="F48" s="32">
        <v>9.5</v>
      </c>
      <c r="G48" s="32">
        <v>10.6</v>
      </c>
      <c r="H48" s="30" t="s">
        <v>100</v>
      </c>
      <c r="I48" s="35">
        <v>340</v>
      </c>
    </row>
    <row r="49" ht="13.5" spans="1:9">
      <c r="A49" s="28">
        <v>60</v>
      </c>
      <c r="B49" s="29" t="s">
        <v>106</v>
      </c>
      <c r="C49" s="30">
        <v>30</v>
      </c>
      <c r="D49" s="31" t="s">
        <v>107</v>
      </c>
      <c r="E49" s="31" t="s">
        <v>108</v>
      </c>
      <c r="F49" s="32">
        <v>12.5</v>
      </c>
      <c r="G49" s="32">
        <v>14.1</v>
      </c>
      <c r="H49" s="30" t="s">
        <v>100</v>
      </c>
      <c r="I49" s="35">
        <v>255</v>
      </c>
    </row>
    <row r="50" ht="27" spans="1:9">
      <c r="A50" s="28">
        <v>64</v>
      </c>
      <c r="B50" s="29" t="s">
        <v>109</v>
      </c>
      <c r="C50" s="30">
        <v>31</v>
      </c>
      <c r="D50" s="31" t="s">
        <v>109</v>
      </c>
      <c r="E50" s="31" t="s">
        <v>61</v>
      </c>
      <c r="F50" s="32">
        <v>14.8</v>
      </c>
      <c r="G50" s="32">
        <v>16.6</v>
      </c>
      <c r="H50" s="30" t="s">
        <v>110</v>
      </c>
      <c r="I50" s="35">
        <v>217</v>
      </c>
    </row>
    <row r="51" ht="13.5" spans="1:9">
      <c r="A51" s="25"/>
      <c r="B51" s="26" t="s">
        <v>111</v>
      </c>
      <c r="C51" s="17"/>
      <c r="D51" s="27" t="s">
        <v>111</v>
      </c>
      <c r="E51" s="27"/>
      <c r="F51" s="27"/>
      <c r="G51" s="27"/>
      <c r="H51" s="27"/>
      <c r="I51" s="27"/>
    </row>
    <row r="52" ht="13.5" spans="1:9">
      <c r="A52" s="28">
        <v>67</v>
      </c>
      <c r="B52" s="29" t="s">
        <v>112</v>
      </c>
      <c r="C52" s="30">
        <v>32</v>
      </c>
      <c r="D52" s="31" t="s">
        <v>112</v>
      </c>
      <c r="E52" s="31" t="s">
        <v>99</v>
      </c>
      <c r="F52" s="32">
        <v>24.9</v>
      </c>
      <c r="G52" s="32">
        <v>27.9</v>
      </c>
      <c r="H52" s="30" t="s">
        <v>100</v>
      </c>
      <c r="I52" s="35">
        <v>129</v>
      </c>
    </row>
    <row r="53" ht="13.5" spans="1:9">
      <c r="A53" s="28">
        <v>66</v>
      </c>
      <c r="B53" s="29" t="s">
        <v>113</v>
      </c>
      <c r="C53" s="30">
        <v>33</v>
      </c>
      <c r="D53" s="31" t="s">
        <v>113</v>
      </c>
      <c r="E53" s="31" t="s">
        <v>108</v>
      </c>
      <c r="F53" s="32">
        <v>19</v>
      </c>
      <c r="G53" s="32">
        <v>21.4</v>
      </c>
      <c r="H53" s="30" t="s">
        <v>100</v>
      </c>
      <c r="I53" s="35">
        <v>168</v>
      </c>
    </row>
    <row r="54" s="4" customFormat="1" ht="13.5" spans="1:9">
      <c r="A54" s="28">
        <v>56</v>
      </c>
      <c r="B54" s="29" t="s">
        <v>114</v>
      </c>
      <c r="C54" s="30">
        <v>34</v>
      </c>
      <c r="D54" s="31" t="s">
        <v>114</v>
      </c>
      <c r="E54" s="31" t="s">
        <v>99</v>
      </c>
      <c r="F54" s="32">
        <v>16.8</v>
      </c>
      <c r="G54" s="32">
        <v>18.8</v>
      </c>
      <c r="H54" s="30" t="s">
        <v>77</v>
      </c>
      <c r="I54" s="35">
        <v>191</v>
      </c>
    </row>
    <row r="55" s="4" customFormat="1" ht="13.5" spans="1:9">
      <c r="A55" s="28">
        <v>49</v>
      </c>
      <c r="B55" s="33" t="s">
        <v>115</v>
      </c>
      <c r="C55" s="30">
        <v>62</v>
      </c>
      <c r="D55" s="31" t="s">
        <v>116</v>
      </c>
      <c r="E55" s="31" t="s">
        <v>108</v>
      </c>
      <c r="F55" s="32">
        <v>12.6</v>
      </c>
      <c r="G55" s="32">
        <v>14.1</v>
      </c>
      <c r="H55" s="30" t="s">
        <v>100</v>
      </c>
      <c r="I55" s="35">
        <v>255</v>
      </c>
    </row>
    <row r="56" ht="13.5" spans="1:9">
      <c r="A56" s="25"/>
      <c r="B56" s="26" t="s">
        <v>117</v>
      </c>
      <c r="C56" s="17"/>
      <c r="D56" s="27" t="s">
        <v>117</v>
      </c>
      <c r="E56" s="27"/>
      <c r="F56" s="27"/>
      <c r="G56" s="27"/>
      <c r="H56" s="27"/>
      <c r="I56" s="27"/>
    </row>
    <row r="57" ht="13.5" spans="1:9">
      <c r="A57" s="28">
        <v>27</v>
      </c>
      <c r="B57" s="29" t="s">
        <v>118</v>
      </c>
      <c r="C57" s="30">
        <v>35</v>
      </c>
      <c r="D57" s="31" t="s">
        <v>119</v>
      </c>
      <c r="E57" s="31" t="s">
        <v>40</v>
      </c>
      <c r="F57" s="32">
        <v>23.4</v>
      </c>
      <c r="G57" s="32">
        <v>25.9</v>
      </c>
      <c r="H57" s="30" t="s">
        <v>33</v>
      </c>
      <c r="I57" s="35">
        <v>139</v>
      </c>
    </row>
    <row r="58" ht="27" spans="1:9">
      <c r="A58" s="28">
        <v>55</v>
      </c>
      <c r="B58" s="29" t="s">
        <v>120</v>
      </c>
      <c r="C58" s="30">
        <v>36</v>
      </c>
      <c r="D58" s="31" t="s">
        <v>121</v>
      </c>
      <c r="E58" s="31" t="s">
        <v>99</v>
      </c>
      <c r="F58" s="32">
        <v>42.6</v>
      </c>
      <c r="G58" s="32">
        <v>47.9</v>
      </c>
      <c r="H58" s="30" t="s">
        <v>77</v>
      </c>
      <c r="I58" s="35">
        <v>75</v>
      </c>
    </row>
    <row r="59" ht="13.5" spans="1:9">
      <c r="A59" s="28">
        <v>37</v>
      </c>
      <c r="B59" s="29" t="s">
        <v>122</v>
      </c>
      <c r="C59" s="30">
        <v>37</v>
      </c>
      <c r="D59" s="31" t="s">
        <v>123</v>
      </c>
      <c r="E59" s="31" t="s">
        <v>99</v>
      </c>
      <c r="F59" s="32">
        <v>28.4</v>
      </c>
      <c r="G59" s="32">
        <v>32</v>
      </c>
      <c r="H59" s="30" t="s">
        <v>77</v>
      </c>
      <c r="I59" s="35">
        <v>113</v>
      </c>
    </row>
    <row r="60" ht="27" spans="1:9">
      <c r="A60" s="28">
        <v>50</v>
      </c>
      <c r="B60" s="34" t="s">
        <v>124</v>
      </c>
      <c r="C60" s="30">
        <v>38</v>
      </c>
      <c r="D60" s="31" t="s">
        <v>125</v>
      </c>
      <c r="E60" s="31" t="s">
        <v>61</v>
      </c>
      <c r="F60" s="32">
        <v>46.7</v>
      </c>
      <c r="G60" s="32">
        <v>52.5</v>
      </c>
      <c r="H60" s="30" t="s">
        <v>126</v>
      </c>
      <c r="I60" s="35">
        <v>69</v>
      </c>
    </row>
    <row r="61" ht="13.5" spans="1:9">
      <c r="A61" s="28">
        <v>38</v>
      </c>
      <c r="B61" s="29" t="s">
        <v>127</v>
      </c>
      <c r="C61" s="30">
        <v>39</v>
      </c>
      <c r="D61" s="31" t="s">
        <v>128</v>
      </c>
      <c r="E61" s="31" t="s">
        <v>99</v>
      </c>
      <c r="F61" s="32">
        <v>49.8</v>
      </c>
      <c r="G61" s="32">
        <v>55.5</v>
      </c>
      <c r="H61" s="30" t="s">
        <v>126</v>
      </c>
      <c r="I61" s="35">
        <v>65</v>
      </c>
    </row>
    <row r="62" ht="27" spans="1:9">
      <c r="A62" s="28">
        <v>58</v>
      </c>
      <c r="B62" s="29" t="s">
        <v>129</v>
      </c>
      <c r="C62" s="30">
        <v>40</v>
      </c>
      <c r="D62" s="31" t="s">
        <v>130</v>
      </c>
      <c r="E62" s="31" t="s">
        <v>61</v>
      </c>
      <c r="F62" s="32">
        <v>18.1</v>
      </c>
      <c r="G62" s="32">
        <v>20.2</v>
      </c>
      <c r="H62" s="30" t="s">
        <v>62</v>
      </c>
      <c r="I62" s="35">
        <v>178</v>
      </c>
    </row>
    <row r="63" ht="27" spans="1:9">
      <c r="A63" s="28">
        <v>68</v>
      </c>
      <c r="B63" s="33" t="s">
        <v>131</v>
      </c>
      <c r="C63" s="30">
        <v>64</v>
      </c>
      <c r="D63" s="31" t="s">
        <v>132</v>
      </c>
      <c r="E63" s="31" t="s">
        <v>133</v>
      </c>
      <c r="F63" s="32">
        <v>31.6</v>
      </c>
      <c r="G63" s="32">
        <v>35.6</v>
      </c>
      <c r="H63" s="30" t="s">
        <v>37</v>
      </c>
      <c r="I63" s="35">
        <v>101</v>
      </c>
    </row>
    <row r="64" ht="27" spans="1:9">
      <c r="A64" s="28">
        <v>65</v>
      </c>
      <c r="B64" s="29" t="s">
        <v>134</v>
      </c>
      <c r="C64" s="30">
        <v>41</v>
      </c>
      <c r="D64" s="31" t="s">
        <v>135</v>
      </c>
      <c r="E64" s="31" t="s">
        <v>61</v>
      </c>
      <c r="F64" s="32">
        <v>33</v>
      </c>
      <c r="G64" s="40">
        <v>37.3</v>
      </c>
      <c r="H64" s="30" t="s">
        <v>92</v>
      </c>
      <c r="I64" s="35">
        <v>97</v>
      </c>
    </row>
    <row r="65" ht="13.5" spans="1:9">
      <c r="A65" s="28">
        <v>120</v>
      </c>
      <c r="B65" s="29" t="s">
        <v>136</v>
      </c>
      <c r="C65" s="30">
        <v>42</v>
      </c>
      <c r="D65" s="31" t="s">
        <v>137</v>
      </c>
      <c r="E65" s="31" t="s">
        <v>40</v>
      </c>
      <c r="F65" s="32">
        <v>27.4</v>
      </c>
      <c r="G65" s="32">
        <v>30.2</v>
      </c>
      <c r="H65" s="30" t="s">
        <v>68</v>
      </c>
      <c r="I65" s="35">
        <v>119</v>
      </c>
    </row>
    <row r="66" ht="13.5" spans="1:9">
      <c r="A66" s="25"/>
      <c r="B66" s="26" t="s">
        <v>138</v>
      </c>
      <c r="C66" s="17"/>
      <c r="D66" s="27" t="s">
        <v>138</v>
      </c>
      <c r="E66" s="27"/>
      <c r="F66" s="27"/>
      <c r="G66" s="27"/>
      <c r="H66" s="27"/>
      <c r="I66" s="27"/>
    </row>
    <row r="67" ht="13.5" spans="1:9">
      <c r="A67" s="28">
        <v>35</v>
      </c>
      <c r="B67" s="29" t="s">
        <v>139</v>
      </c>
      <c r="C67" s="30">
        <v>43</v>
      </c>
      <c r="D67" s="31" t="s">
        <v>140</v>
      </c>
      <c r="E67" s="31" t="s">
        <v>141</v>
      </c>
      <c r="F67" s="32">
        <v>27</v>
      </c>
      <c r="G67" s="32">
        <v>30.9</v>
      </c>
      <c r="H67" s="30" t="s">
        <v>68</v>
      </c>
      <c r="I67" s="35">
        <v>117</v>
      </c>
    </row>
    <row r="68" ht="13.5" spans="1:9">
      <c r="A68" s="28">
        <v>90</v>
      </c>
      <c r="B68" s="29" t="s">
        <v>142</v>
      </c>
      <c r="C68" s="30">
        <v>44</v>
      </c>
      <c r="D68" s="31" t="s">
        <v>143</v>
      </c>
      <c r="E68" s="31" t="s">
        <v>40</v>
      </c>
      <c r="F68" s="32">
        <v>32.9</v>
      </c>
      <c r="G68" s="32">
        <v>36.4</v>
      </c>
      <c r="H68" s="30" t="s">
        <v>33</v>
      </c>
      <c r="I68" s="35">
        <v>99</v>
      </c>
    </row>
    <row r="69" ht="13.5" spans="1:9">
      <c r="A69" s="43"/>
      <c r="B69" s="33" t="s">
        <v>144</v>
      </c>
      <c r="C69" s="44"/>
      <c r="D69" s="33"/>
      <c r="E69" s="31"/>
      <c r="F69" s="32"/>
      <c r="G69" s="32"/>
      <c r="H69" s="30"/>
      <c r="I69" s="35"/>
    </row>
    <row r="70" ht="13.5" hidden="1" spans="1:9">
      <c r="A70" s="43">
        <v>126</v>
      </c>
      <c r="B70" s="33" t="s">
        <v>145</v>
      </c>
      <c r="C70" s="44"/>
      <c r="D70" s="33"/>
      <c r="E70" s="31"/>
      <c r="F70" s="32"/>
      <c r="G70" s="32"/>
      <c r="H70" s="30"/>
      <c r="I70" s="35"/>
    </row>
    <row r="71" ht="13.5" hidden="1" spans="1:9">
      <c r="A71" s="43">
        <v>102</v>
      </c>
      <c r="B71" s="33" t="s">
        <v>146</v>
      </c>
      <c r="C71" s="44"/>
      <c r="D71" s="33"/>
      <c r="E71" s="31"/>
      <c r="F71" s="32"/>
      <c r="G71" s="32"/>
      <c r="H71" s="30"/>
      <c r="I71" s="35"/>
    </row>
    <row r="72" ht="13.5" hidden="1" spans="1:9">
      <c r="A72" s="43">
        <v>103</v>
      </c>
      <c r="B72" s="33" t="s">
        <v>147</v>
      </c>
      <c r="C72" s="44"/>
      <c r="D72" s="33"/>
      <c r="E72" s="31"/>
      <c r="F72" s="32"/>
      <c r="G72" s="32"/>
      <c r="H72" s="30"/>
      <c r="I72" s="35"/>
    </row>
    <row r="73" ht="13.5" hidden="1" spans="1:9">
      <c r="A73" s="43">
        <v>105</v>
      </c>
      <c r="B73" s="33" t="s">
        <v>148</v>
      </c>
      <c r="C73" s="44"/>
      <c r="D73" s="33"/>
      <c r="E73" s="31"/>
      <c r="F73" s="32"/>
      <c r="G73" s="32"/>
      <c r="H73" s="30"/>
      <c r="I73" s="35"/>
    </row>
    <row r="74" ht="13.5" hidden="1" spans="1:9">
      <c r="A74" s="43">
        <v>154</v>
      </c>
      <c r="B74" s="33" t="s">
        <v>149</v>
      </c>
      <c r="C74" s="44"/>
      <c r="D74" s="33"/>
      <c r="E74" s="31"/>
      <c r="F74" s="32"/>
      <c r="G74" s="32"/>
      <c r="H74" s="30"/>
      <c r="I74" s="35"/>
    </row>
    <row r="75" ht="13.5" hidden="1" spans="1:9">
      <c r="A75" s="43"/>
      <c r="B75" s="33"/>
      <c r="C75" s="44"/>
      <c r="D75" s="33"/>
      <c r="E75" s="31"/>
      <c r="F75" s="32"/>
      <c r="G75" s="32"/>
      <c r="H75" s="30"/>
      <c r="I75" s="35"/>
    </row>
    <row r="76" ht="13.5" hidden="1" spans="1:9">
      <c r="A76" s="43"/>
      <c r="B76" s="33"/>
      <c r="C76" s="44"/>
      <c r="D76" s="33"/>
      <c r="E76" s="31"/>
      <c r="F76" s="32"/>
      <c r="G76" s="32"/>
      <c r="H76" s="30"/>
      <c r="I76" s="35"/>
    </row>
    <row r="77" s="5" customFormat="1" ht="13.5" spans="1:1">
      <c r="A77" s="49" t="s">
        <v>150</v>
      </c>
    </row>
    <row r="78" ht="13.5"/>
    <row r="79" ht="13.5"/>
    <row r="80" ht="13.5"/>
    <row r="81" ht="13.5"/>
    <row r="82" ht="13.5"/>
    <row r="83" ht="13.5"/>
    <row r="84" ht="13.5"/>
    <row r="85" ht="13.5"/>
    <row r="86" ht="13.5"/>
    <row r="87" ht="13.5"/>
    <row r="88" ht="13.5"/>
    <row r="89" ht="13.5"/>
    <row r="90" ht="13.5"/>
    <row r="91" ht="13.5"/>
    <row r="92" ht="13.5"/>
    <row r="93" ht="13.5"/>
    <row r="94" ht="13.5"/>
    <row r="95" ht="13.5"/>
    <row r="96" ht="13.5"/>
    <row r="97" ht="13.5"/>
    <row r="98" ht="13.5"/>
    <row r="99" ht="13.5"/>
    <row r="100" ht="13.5"/>
    <row r="101" ht="13.5"/>
    <row r="102" ht="13.5"/>
    <row r="103" ht="13.5"/>
    <row r="104" ht="13.5"/>
    <row r="105" ht="13.5"/>
    <row r="106" ht="13.5"/>
    <row r="107" ht="13.5"/>
    <row r="108" ht="13.5"/>
    <row r="109" ht="13.5"/>
    <row r="110" ht="13.5"/>
    <row r="111" ht="13.5"/>
    <row r="112" ht="13.5"/>
    <row r="113" ht="13.5"/>
    <row r="114" ht="13.5"/>
    <row r="115" ht="13.5"/>
    <row r="116" ht="13.5"/>
    <row r="117" ht="13.5"/>
    <row r="118" ht="13.5"/>
    <row r="119" ht="13.5"/>
    <row r="120" ht="13.5"/>
    <row r="121" ht="13.5"/>
    <row r="122" ht="13.5"/>
    <row r="123" ht="13.5"/>
    <row r="124" ht="13.5"/>
    <row r="125" ht="13.5"/>
    <row r="126" ht="13.5"/>
  </sheetData>
  <mergeCells count="16">
    <mergeCell ref="A1:I1"/>
    <mergeCell ref="A2:I2"/>
    <mergeCell ref="A3:I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77:I77"/>
    <mergeCell ref="G4:I14"/>
  </mergeCells>
  <conditionalFormatting sqref="A16:A74">
    <cfRule type="expression" dxfId="0" priority="7">
      <formula>AND(SUMPRODUCT(IFERROR(1*(($A$16:$A$74&amp;"x")=(A16&amp;"x")),0))&gt;1,NOT(ISBLANK(A16)))</formula>
    </cfRule>
  </conditionalFormatting>
  <conditionalFormatting sqref="A75:A76">
    <cfRule type="duplicateValues" dxfId="1" priority="2"/>
  </conditionalFormatting>
  <conditionalFormatting sqref="A1:A14 A77:A1048576">
    <cfRule type="duplicateValues" dxfId="2" priority="5"/>
  </conditionalFormatting>
  <conditionalFormatting sqref="D1:D14 D77:D1048576">
    <cfRule type="duplicateValues" dxfId="2" priority="4"/>
  </conditionalFormatting>
  <printOptions horizontalCentered="1"/>
  <pageMargins left="0.0784722222222222" right="0.0784722222222222" top="0.397222222222222" bottom="0.397222222222222" header="0.196527777777778" footer="0.196527777777778"/>
  <pageSetup paperSize="9" scale="92" fitToWidth="0" orientation="portrait" horizontalDpi="600"/>
  <headerFooter>
    <oddFooter>&amp;R&amp;D 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136"/>
  <sheetViews>
    <sheetView tabSelected="1" view="pageBreakPreview" zoomScale="130" zoomScaleNormal="100" topLeftCell="A26" workbookViewId="0">
      <selection activeCell="P36" sqref="P36"/>
    </sheetView>
  </sheetViews>
  <sheetFormatPr defaultColWidth="9" defaultRowHeight="14" customHeight="1"/>
  <cols>
    <col min="1" max="1" width="11.725" style="6" customWidth="1"/>
    <col min="2" max="2" width="19.2333333333333" style="5" customWidth="1"/>
    <col min="3" max="3" width="3.125" style="5" customWidth="1"/>
    <col min="4" max="4" width="28.8416666666667" style="5" customWidth="1"/>
    <col min="5" max="5" width="15.625" style="5" customWidth="1"/>
    <col min="6" max="6" width="7.125" style="5" customWidth="1"/>
    <col min="7" max="7" width="6.5" style="5" customWidth="1"/>
    <col min="8" max="9" width="7.125" style="5" customWidth="1"/>
    <col min="10" max="95" width="9" style="5"/>
    <col min="96" max="96" width="59.625" style="5" customWidth="1"/>
    <col min="97" max="16384" width="9" style="5"/>
  </cols>
  <sheetData>
    <row r="1" s="1" customFormat="1" ht="25.5" spans="1:9">
      <c r="A1" s="7" t="s">
        <v>0</v>
      </c>
      <c r="B1" s="8"/>
      <c r="C1" s="8"/>
      <c r="D1" s="9"/>
      <c r="E1" s="9"/>
      <c r="F1" s="9"/>
      <c r="G1" s="9"/>
      <c r="H1" s="9"/>
      <c r="I1" s="9"/>
    </row>
    <row r="2" s="1" customFormat="1" ht="20.25" spans="1:9">
      <c r="A2" s="10" t="s">
        <v>1</v>
      </c>
      <c r="B2" s="11"/>
      <c r="C2" s="11"/>
      <c r="D2" s="12"/>
      <c r="E2" s="12"/>
      <c r="F2" s="12"/>
      <c r="G2" s="12"/>
      <c r="H2" s="12"/>
      <c r="I2" s="12"/>
    </row>
    <row r="3" s="2" customFormat="1" ht="13.5" spans="1:9">
      <c r="A3" s="13" t="s">
        <v>2</v>
      </c>
      <c r="B3" s="14"/>
      <c r="C3" s="14"/>
      <c r="D3" s="14"/>
      <c r="E3" s="14"/>
      <c r="F3" s="14"/>
      <c r="G3" s="14"/>
      <c r="H3" s="14"/>
      <c r="I3" s="14"/>
    </row>
    <row r="4" s="2" customFormat="1" ht="13.5" spans="1:9">
      <c r="A4" s="15" t="s">
        <v>3</v>
      </c>
      <c r="B4" s="16">
        <v>45880.7352777778</v>
      </c>
      <c r="C4" s="16"/>
      <c r="D4" s="16"/>
      <c r="E4" s="16"/>
      <c r="F4" s="16"/>
      <c r="G4" s="17"/>
      <c r="H4" s="17"/>
      <c r="I4" s="17"/>
    </row>
    <row r="5" s="2" customFormat="1" ht="13.5" spans="1:9">
      <c r="A5" s="15" t="s">
        <v>4</v>
      </c>
      <c r="B5" s="18" t="s">
        <v>5</v>
      </c>
      <c r="C5" s="18"/>
      <c r="D5" s="18"/>
      <c r="E5" s="18"/>
      <c r="F5" s="18"/>
      <c r="G5" s="17"/>
      <c r="H5" s="17"/>
      <c r="I5" s="17"/>
    </row>
    <row r="6" s="2" customFormat="1" ht="13.5" spans="1:9">
      <c r="A6" s="15" t="s">
        <v>6</v>
      </c>
      <c r="B6" s="19" t="s">
        <v>7</v>
      </c>
      <c r="C6" s="19"/>
      <c r="D6" s="19"/>
      <c r="E6" s="19"/>
      <c r="F6" s="19"/>
      <c r="G6" s="17"/>
      <c r="H6" s="17"/>
      <c r="I6" s="17"/>
    </row>
    <row r="7" s="2" customFormat="1" ht="13.5" spans="1:96">
      <c r="A7" s="15" t="s">
        <v>8</v>
      </c>
      <c r="B7" s="14" t="s">
        <v>9</v>
      </c>
      <c r="C7" s="14"/>
      <c r="D7" s="14"/>
      <c r="E7" s="14"/>
      <c r="F7" s="14"/>
      <c r="G7" s="17"/>
      <c r="H7" s="17"/>
      <c r="I7" s="17"/>
      <c r="CR7" s="36"/>
    </row>
    <row r="8" s="2" customFormat="1" ht="13.5" spans="1:96">
      <c r="A8" s="15" t="s">
        <v>10</v>
      </c>
      <c r="B8" s="14" t="s">
        <v>11</v>
      </c>
      <c r="C8" s="14"/>
      <c r="D8" s="14"/>
      <c r="E8" s="14"/>
      <c r="F8" s="14"/>
      <c r="G8" s="17"/>
      <c r="H8" s="17"/>
      <c r="I8" s="17"/>
      <c r="CR8" s="36"/>
    </row>
    <row r="9" s="2" customFormat="1" ht="13.5" spans="1:9">
      <c r="A9" s="15" t="s">
        <v>12</v>
      </c>
      <c r="B9" s="14">
        <v>20581</v>
      </c>
      <c r="C9" s="14"/>
      <c r="D9" s="14"/>
      <c r="E9" s="14"/>
      <c r="F9" s="14"/>
      <c r="G9" s="17"/>
      <c r="H9" s="17"/>
      <c r="I9" s="17"/>
    </row>
    <row r="10" s="2" customFormat="1" ht="13.5" spans="1:9">
      <c r="A10" s="20" t="s">
        <v>13</v>
      </c>
      <c r="B10" s="14">
        <f>SUM(G29:G50,G52:G55,G58:G66)</f>
        <v>805.4</v>
      </c>
      <c r="C10" s="14"/>
      <c r="D10" s="14"/>
      <c r="E10" s="14"/>
      <c r="F10" s="14"/>
      <c r="G10" s="17"/>
      <c r="H10" s="17"/>
      <c r="I10" s="17"/>
    </row>
    <row r="11" s="2" customFormat="1" ht="27" spans="1:9">
      <c r="A11" s="21" t="s">
        <v>14</v>
      </c>
      <c r="B11" s="22">
        <f>10.5*60*60/B10</f>
        <v>46.9332008939657</v>
      </c>
      <c r="C11" s="22"/>
      <c r="D11" s="22"/>
      <c r="E11" s="22"/>
      <c r="F11" s="22"/>
      <c r="G11" s="17"/>
      <c r="H11" s="17"/>
      <c r="I11" s="17"/>
    </row>
    <row r="12" s="2" customFormat="1" ht="13.5" spans="1:9">
      <c r="A12" s="20" t="s">
        <v>15</v>
      </c>
      <c r="B12" s="14"/>
      <c r="C12" s="14"/>
      <c r="D12" s="14"/>
      <c r="E12" s="14"/>
      <c r="F12" s="14"/>
      <c r="G12" s="17"/>
      <c r="H12" s="17"/>
      <c r="I12" s="17"/>
    </row>
    <row r="13" s="2" customFormat="1" ht="13.5" spans="1:9">
      <c r="A13" s="15" t="s">
        <v>16</v>
      </c>
      <c r="B13" s="14"/>
      <c r="C13" s="14"/>
      <c r="D13" s="14"/>
      <c r="E13" s="14"/>
      <c r="F13" s="14"/>
      <c r="G13" s="17"/>
      <c r="H13" s="17"/>
      <c r="I13" s="17"/>
    </row>
    <row r="14" s="2" customFormat="1" ht="13.5" spans="1:9">
      <c r="A14" s="15" t="s">
        <v>17</v>
      </c>
      <c r="B14" s="19"/>
      <c r="C14" s="19"/>
      <c r="D14" s="19"/>
      <c r="E14" s="19"/>
      <c r="F14" s="19"/>
      <c r="G14" s="17"/>
      <c r="H14" s="17"/>
      <c r="I14" s="17"/>
    </row>
    <row r="15" s="3" customFormat="1" ht="12" spans="1:9">
      <c r="A15" s="23" t="s">
        <v>18</v>
      </c>
      <c r="B15" s="24" t="s">
        <v>19</v>
      </c>
      <c r="C15" s="24"/>
      <c r="D15" s="24"/>
      <c r="E15" s="24" t="s">
        <v>20</v>
      </c>
      <c r="F15" s="24" t="s">
        <v>21</v>
      </c>
      <c r="G15" s="24" t="s">
        <v>22</v>
      </c>
      <c r="H15" s="24" t="s">
        <v>23</v>
      </c>
      <c r="I15" s="24" t="s">
        <v>24</v>
      </c>
    </row>
    <row r="16" ht="13.5" spans="1:9">
      <c r="A16" s="25"/>
      <c r="B16" s="26" t="s">
        <v>25</v>
      </c>
      <c r="C16" s="17"/>
      <c r="D16" s="27" t="s">
        <v>25</v>
      </c>
      <c r="E16" s="27"/>
      <c r="F16" s="27"/>
      <c r="G16" s="27"/>
      <c r="H16" s="27"/>
      <c r="I16" s="27"/>
    </row>
    <row r="17" ht="13.5" spans="1:9">
      <c r="A17" s="28"/>
      <c r="B17" s="29" t="s">
        <v>26</v>
      </c>
      <c r="C17" s="30">
        <v>1</v>
      </c>
      <c r="D17" s="31" t="s">
        <v>27</v>
      </c>
      <c r="E17" s="31" t="s">
        <v>28</v>
      </c>
      <c r="F17" s="32">
        <v>7.5</v>
      </c>
      <c r="G17" s="32">
        <v>8.4</v>
      </c>
      <c r="H17" s="30" t="s">
        <v>29</v>
      </c>
      <c r="I17" s="35">
        <v>429</v>
      </c>
    </row>
    <row r="18" ht="13.5" spans="1:9">
      <c r="A18" s="28">
        <v>155</v>
      </c>
      <c r="B18" s="29" t="s">
        <v>30</v>
      </c>
      <c r="C18" s="30">
        <v>2</v>
      </c>
      <c r="D18" s="31" t="s">
        <v>31</v>
      </c>
      <c r="E18" s="31" t="s">
        <v>32</v>
      </c>
      <c r="F18" s="32">
        <v>14</v>
      </c>
      <c r="G18" s="32">
        <v>15.7</v>
      </c>
      <c r="H18" s="30" t="s">
        <v>33</v>
      </c>
      <c r="I18" s="35">
        <v>229</v>
      </c>
    </row>
    <row r="19" ht="13.5" spans="1:9">
      <c r="A19" s="28">
        <v>2</v>
      </c>
      <c r="B19" s="29" t="s">
        <v>34</v>
      </c>
      <c r="C19" s="30">
        <v>3</v>
      </c>
      <c r="D19" s="31" t="s">
        <v>35</v>
      </c>
      <c r="E19" s="31" t="s">
        <v>36</v>
      </c>
      <c r="F19" s="32">
        <v>8.6</v>
      </c>
      <c r="G19" s="32">
        <v>9.5</v>
      </c>
      <c r="H19" s="30" t="s">
        <v>37</v>
      </c>
      <c r="I19" s="35">
        <v>379</v>
      </c>
    </row>
    <row r="20" ht="13.5" spans="1:9">
      <c r="A20" s="28">
        <v>5</v>
      </c>
      <c r="B20" s="29" t="s">
        <v>38</v>
      </c>
      <c r="C20" s="30">
        <v>4</v>
      </c>
      <c r="D20" s="31" t="s">
        <v>39</v>
      </c>
      <c r="E20" s="31" t="s">
        <v>40</v>
      </c>
      <c r="F20" s="32">
        <v>10.2</v>
      </c>
      <c r="G20" s="32">
        <v>11.3</v>
      </c>
      <c r="H20" s="30" t="s">
        <v>29</v>
      </c>
      <c r="I20" s="35">
        <v>319</v>
      </c>
    </row>
    <row r="21" ht="13.5" spans="1:9">
      <c r="A21" s="28">
        <v>6</v>
      </c>
      <c r="B21" s="29" t="s">
        <v>41</v>
      </c>
      <c r="C21" s="30">
        <v>5</v>
      </c>
      <c r="D21" s="31" t="s">
        <v>42</v>
      </c>
      <c r="E21" s="31" t="s">
        <v>32</v>
      </c>
      <c r="F21" s="32">
        <v>1.1</v>
      </c>
      <c r="G21" s="32">
        <v>1.2</v>
      </c>
      <c r="H21" s="30" t="s">
        <v>33</v>
      </c>
      <c r="I21" s="35">
        <v>3000</v>
      </c>
    </row>
    <row r="22" ht="13.5" spans="1:9">
      <c r="A22" s="28">
        <v>9</v>
      </c>
      <c r="B22" s="29" t="s">
        <v>43</v>
      </c>
      <c r="C22" s="30">
        <v>6</v>
      </c>
      <c r="D22" s="31" t="s">
        <v>44</v>
      </c>
      <c r="E22" s="31" t="s">
        <v>45</v>
      </c>
      <c r="F22" s="32">
        <v>2.1</v>
      </c>
      <c r="G22" s="32">
        <v>2.1</v>
      </c>
      <c r="H22" s="30" t="s">
        <v>37</v>
      </c>
      <c r="I22" s="35">
        <v>1714</v>
      </c>
    </row>
    <row r="23" ht="13.5" spans="1:9">
      <c r="A23" s="28">
        <v>7</v>
      </c>
      <c r="B23" s="29" t="s">
        <v>46</v>
      </c>
      <c r="C23" s="30">
        <v>7</v>
      </c>
      <c r="D23" s="31" t="s">
        <v>47</v>
      </c>
      <c r="E23" s="31" t="s">
        <v>40</v>
      </c>
      <c r="F23" s="32">
        <v>0.9</v>
      </c>
      <c r="G23" s="32">
        <v>1</v>
      </c>
      <c r="H23" s="30" t="s">
        <v>29</v>
      </c>
      <c r="I23" s="35">
        <v>3600</v>
      </c>
    </row>
    <row r="24" ht="13.5" spans="1:9">
      <c r="A24" s="28">
        <v>170</v>
      </c>
      <c r="B24" s="29" t="s">
        <v>48</v>
      </c>
      <c r="C24" s="30">
        <v>8</v>
      </c>
      <c r="D24" s="31" t="s">
        <v>49</v>
      </c>
      <c r="E24" s="31" t="s">
        <v>40</v>
      </c>
      <c r="F24" s="32">
        <v>19.7</v>
      </c>
      <c r="G24" s="32">
        <v>21.8</v>
      </c>
      <c r="H24" s="30" t="s">
        <v>33</v>
      </c>
      <c r="I24" s="35">
        <v>165</v>
      </c>
    </row>
    <row r="25" ht="13.5" spans="1:9">
      <c r="A25" s="28">
        <v>16</v>
      </c>
      <c r="B25" s="29" t="s">
        <v>50</v>
      </c>
      <c r="C25" s="30">
        <v>9</v>
      </c>
      <c r="D25" s="31" t="s">
        <v>51</v>
      </c>
      <c r="E25" s="31" t="s">
        <v>40</v>
      </c>
      <c r="F25" s="32">
        <v>10.7</v>
      </c>
      <c r="G25" s="32">
        <v>11.8</v>
      </c>
      <c r="H25" s="30" t="s">
        <v>29</v>
      </c>
      <c r="I25" s="35">
        <v>305</v>
      </c>
    </row>
    <row r="26" ht="13.5" spans="1:9">
      <c r="A26" s="28">
        <v>11</v>
      </c>
      <c r="B26" s="29" t="s">
        <v>52</v>
      </c>
      <c r="C26" s="30"/>
      <c r="D26" s="31"/>
      <c r="E26" s="31"/>
      <c r="F26" s="32"/>
      <c r="G26" s="32"/>
      <c r="H26" s="30"/>
      <c r="I26" s="35"/>
    </row>
    <row r="27" ht="13.5" spans="1:9">
      <c r="A27" s="25"/>
      <c r="B27" s="26" t="s">
        <v>53</v>
      </c>
      <c r="C27" s="17"/>
      <c r="D27" s="27" t="s">
        <v>53</v>
      </c>
      <c r="E27" s="27"/>
      <c r="F27" s="27"/>
      <c r="G27" s="27"/>
      <c r="H27" s="27"/>
      <c r="I27" s="27"/>
    </row>
    <row r="28" ht="13.5" spans="1:9">
      <c r="A28" s="28">
        <v>14</v>
      </c>
      <c r="B28" s="29" t="s">
        <v>54</v>
      </c>
      <c r="C28" s="30">
        <v>10</v>
      </c>
      <c r="D28" s="31" t="s">
        <v>55</v>
      </c>
      <c r="E28" s="31" t="s">
        <v>40</v>
      </c>
      <c r="F28" s="32">
        <v>1.3</v>
      </c>
      <c r="G28" s="32">
        <v>1.4</v>
      </c>
      <c r="H28" s="30" t="s">
        <v>56</v>
      </c>
      <c r="I28" s="35">
        <v>2571</v>
      </c>
    </row>
    <row r="29" ht="13.5" spans="1:9">
      <c r="A29" s="28">
        <v>46</v>
      </c>
      <c r="B29" s="31" t="s">
        <v>57</v>
      </c>
      <c r="C29" s="30">
        <v>11</v>
      </c>
      <c r="D29" s="31" t="s">
        <v>58</v>
      </c>
      <c r="E29" s="31" t="s">
        <v>40</v>
      </c>
      <c r="F29" s="32">
        <v>2.9</v>
      </c>
      <c r="G29" s="32">
        <v>3.2</v>
      </c>
      <c r="H29" s="30" t="s">
        <v>56</v>
      </c>
      <c r="I29" s="35">
        <v>1125</v>
      </c>
    </row>
    <row r="30" ht="13.5" spans="1:9">
      <c r="A30" s="28">
        <v>47</v>
      </c>
      <c r="B30" s="31" t="s">
        <v>59</v>
      </c>
      <c r="C30" s="30">
        <v>12</v>
      </c>
      <c r="D30" s="31" t="s">
        <v>60</v>
      </c>
      <c r="E30" s="31" t="s">
        <v>61</v>
      </c>
      <c r="F30" s="32">
        <v>7.2</v>
      </c>
      <c r="G30" s="32">
        <v>8</v>
      </c>
      <c r="H30" s="30" t="s">
        <v>62</v>
      </c>
      <c r="I30" s="35">
        <v>450</v>
      </c>
    </row>
    <row r="31" s="2" customFormat="1" ht="13.5" spans="1:9">
      <c r="A31" s="28">
        <v>15</v>
      </c>
      <c r="B31" s="29" t="s">
        <v>63</v>
      </c>
      <c r="C31" s="30">
        <v>13</v>
      </c>
      <c r="D31" s="31" t="s">
        <v>64</v>
      </c>
      <c r="E31" s="31" t="s">
        <v>40</v>
      </c>
      <c r="F31" s="32">
        <v>2.6</v>
      </c>
      <c r="G31" s="32">
        <v>2.9</v>
      </c>
      <c r="H31" s="30" t="s">
        <v>56</v>
      </c>
      <c r="I31" s="35">
        <v>1241</v>
      </c>
    </row>
    <row r="32" s="2" customFormat="1" ht="27" spans="1:9">
      <c r="A32" s="28">
        <v>18</v>
      </c>
      <c r="B32" s="29" t="s">
        <v>65</v>
      </c>
      <c r="C32" s="30">
        <v>14</v>
      </c>
      <c r="D32" s="31" t="s">
        <v>66</v>
      </c>
      <c r="E32" s="31" t="s">
        <v>67</v>
      </c>
      <c r="F32" s="32">
        <v>10.7</v>
      </c>
      <c r="G32" s="32">
        <v>11.9</v>
      </c>
      <c r="H32" s="30" t="s">
        <v>68</v>
      </c>
      <c r="I32" s="35">
        <v>303</v>
      </c>
    </row>
    <row r="33" s="2" customFormat="1" ht="13.5" spans="1:9">
      <c r="A33" s="28">
        <v>17</v>
      </c>
      <c r="B33" s="29" t="s">
        <v>69</v>
      </c>
      <c r="C33" s="30">
        <v>15</v>
      </c>
      <c r="D33" s="31" t="s">
        <v>70</v>
      </c>
      <c r="E33" s="31" t="s">
        <v>61</v>
      </c>
      <c r="F33" s="32">
        <v>9.5</v>
      </c>
      <c r="G33" s="32">
        <v>10.7</v>
      </c>
      <c r="H33" s="30" t="s">
        <v>37</v>
      </c>
      <c r="I33" s="35">
        <v>336</v>
      </c>
    </row>
    <row r="34" ht="27" spans="1:9">
      <c r="A34" s="28">
        <v>24</v>
      </c>
      <c r="B34" s="29" t="s">
        <v>71</v>
      </c>
      <c r="C34" s="30">
        <v>16</v>
      </c>
      <c r="D34" s="31" t="s">
        <v>72</v>
      </c>
      <c r="E34" s="31" t="s">
        <v>61</v>
      </c>
      <c r="F34" s="32">
        <v>25.3</v>
      </c>
      <c r="G34" s="32">
        <v>28.1</v>
      </c>
      <c r="H34" s="30" t="s">
        <v>73</v>
      </c>
      <c r="I34" s="35">
        <v>128</v>
      </c>
    </row>
    <row r="35" ht="27" spans="1:9">
      <c r="A35" s="28">
        <v>25</v>
      </c>
      <c r="B35" s="29" t="s">
        <v>74</v>
      </c>
      <c r="C35" s="30">
        <v>17</v>
      </c>
      <c r="D35" s="31" t="s">
        <v>75</v>
      </c>
      <c r="E35" s="31" t="s">
        <v>76</v>
      </c>
      <c r="F35" s="32">
        <v>31.4</v>
      </c>
      <c r="G35" s="32">
        <v>35.8</v>
      </c>
      <c r="H35" s="30" t="s">
        <v>77</v>
      </c>
      <c r="I35" s="35">
        <v>101</v>
      </c>
    </row>
    <row r="36" ht="27" spans="1:9">
      <c r="A36" s="28">
        <v>20</v>
      </c>
      <c r="B36" s="29" t="s">
        <v>78</v>
      </c>
      <c r="C36" s="30">
        <v>18</v>
      </c>
      <c r="D36" s="31" t="s">
        <v>79</v>
      </c>
      <c r="E36" s="31" t="s">
        <v>40</v>
      </c>
      <c r="F36" s="32">
        <v>9</v>
      </c>
      <c r="G36" s="32">
        <v>9.9</v>
      </c>
      <c r="H36" s="30" t="s">
        <v>56</v>
      </c>
      <c r="I36" s="35">
        <v>364</v>
      </c>
    </row>
    <row r="37" ht="13.5" spans="1:9">
      <c r="A37" s="28">
        <v>26</v>
      </c>
      <c r="B37" s="29" t="s">
        <v>80</v>
      </c>
      <c r="C37" s="30">
        <v>19</v>
      </c>
      <c r="D37" s="31" t="s">
        <v>81</v>
      </c>
      <c r="E37" s="31" t="s">
        <v>40</v>
      </c>
      <c r="F37" s="32">
        <v>6.1</v>
      </c>
      <c r="G37" s="32">
        <v>6.8</v>
      </c>
      <c r="H37" s="30" t="s">
        <v>56</v>
      </c>
      <c r="I37" s="35">
        <v>529</v>
      </c>
    </row>
    <row r="38" ht="13.5" spans="1:9">
      <c r="A38" s="25"/>
      <c r="B38" s="26" t="s">
        <v>82</v>
      </c>
      <c r="C38" s="17"/>
      <c r="D38" s="27" t="s">
        <v>82</v>
      </c>
      <c r="E38" s="27"/>
      <c r="F38" s="27"/>
      <c r="G38" s="27"/>
      <c r="H38" s="27"/>
      <c r="I38" s="27"/>
    </row>
    <row r="39" ht="27" customHeight="1" spans="1:9">
      <c r="A39" s="28">
        <v>23</v>
      </c>
      <c r="B39" s="29" t="s">
        <v>83</v>
      </c>
      <c r="C39" s="30">
        <v>21</v>
      </c>
      <c r="D39" s="31" t="s">
        <v>84</v>
      </c>
      <c r="E39" s="31" t="s">
        <v>61</v>
      </c>
      <c r="F39" s="32">
        <v>42.3</v>
      </c>
      <c r="G39" s="32">
        <v>47.1</v>
      </c>
      <c r="H39" s="30" t="s">
        <v>73</v>
      </c>
      <c r="I39" s="35">
        <v>76</v>
      </c>
    </row>
    <row r="40" ht="27" customHeight="1" spans="1:9">
      <c r="A40" s="28">
        <v>22</v>
      </c>
      <c r="B40" s="33" t="s">
        <v>85</v>
      </c>
      <c r="C40" s="30">
        <v>65</v>
      </c>
      <c r="D40" s="31" t="s">
        <v>86</v>
      </c>
      <c r="E40" s="31" t="s">
        <v>61</v>
      </c>
      <c r="F40" s="32">
        <v>13</v>
      </c>
      <c r="G40" s="32">
        <v>14.5</v>
      </c>
      <c r="H40" s="30" t="s">
        <v>87</v>
      </c>
      <c r="I40" s="35">
        <v>248</v>
      </c>
    </row>
    <row r="41" ht="27" spans="1:9">
      <c r="A41" s="28">
        <v>28</v>
      </c>
      <c r="B41" s="29" t="s">
        <v>88</v>
      </c>
      <c r="C41" s="30">
        <v>22</v>
      </c>
      <c r="D41" s="31" t="s">
        <v>151</v>
      </c>
      <c r="E41" s="31" t="s">
        <v>61</v>
      </c>
      <c r="F41" s="32">
        <v>41.9</v>
      </c>
      <c r="G41" s="32">
        <v>46.5</v>
      </c>
      <c r="H41" s="30" t="s">
        <v>77</v>
      </c>
      <c r="I41" s="35">
        <v>77</v>
      </c>
    </row>
    <row r="42" ht="13.5" spans="1:9">
      <c r="A42" s="28">
        <v>99</v>
      </c>
      <c r="B42" s="29" t="s">
        <v>152</v>
      </c>
      <c r="C42" s="30">
        <v>66</v>
      </c>
      <c r="D42" s="31" t="s">
        <v>153</v>
      </c>
      <c r="E42" s="31" t="s">
        <v>99</v>
      </c>
      <c r="F42" s="32">
        <v>19.7</v>
      </c>
      <c r="G42" s="32">
        <v>22</v>
      </c>
      <c r="H42" s="30" t="s">
        <v>37</v>
      </c>
      <c r="I42" s="35">
        <v>164</v>
      </c>
    </row>
    <row r="43" ht="13.5" spans="1:9">
      <c r="A43" s="28">
        <v>29</v>
      </c>
      <c r="B43" s="29" t="s">
        <v>90</v>
      </c>
      <c r="C43" s="30">
        <v>23</v>
      </c>
      <c r="D43" s="31" t="s">
        <v>91</v>
      </c>
      <c r="E43" s="31" t="s">
        <v>61</v>
      </c>
      <c r="F43" s="32">
        <v>31.4</v>
      </c>
      <c r="G43" s="32">
        <v>35.5</v>
      </c>
      <c r="H43" s="30" t="s">
        <v>92</v>
      </c>
      <c r="I43" s="35">
        <v>101</v>
      </c>
    </row>
    <row r="44" ht="27" spans="1:9">
      <c r="A44" s="28">
        <v>36</v>
      </c>
      <c r="B44" s="29" t="s">
        <v>95</v>
      </c>
      <c r="C44" s="30">
        <v>25</v>
      </c>
      <c r="D44" s="31" t="s">
        <v>154</v>
      </c>
      <c r="E44" s="31"/>
      <c r="F44" s="32"/>
      <c r="G44" s="32"/>
      <c r="H44" s="30"/>
      <c r="I44" s="35"/>
    </row>
    <row r="45" ht="13.5" spans="1:9">
      <c r="A45" s="28">
        <v>63</v>
      </c>
      <c r="B45" s="29" t="s">
        <v>97</v>
      </c>
      <c r="C45" s="30">
        <v>26</v>
      </c>
      <c r="D45" s="31" t="s">
        <v>155</v>
      </c>
      <c r="E45" s="31" t="s">
        <v>99</v>
      </c>
      <c r="F45" s="32">
        <v>28.8</v>
      </c>
      <c r="G45" s="32">
        <v>32.3</v>
      </c>
      <c r="H45" s="30" t="s">
        <v>73</v>
      </c>
      <c r="I45" s="35">
        <v>111</v>
      </c>
    </row>
    <row r="46" ht="27" spans="1:9">
      <c r="A46" s="28">
        <v>59</v>
      </c>
      <c r="B46" s="29" t="s">
        <v>101</v>
      </c>
      <c r="C46" s="30">
        <v>27</v>
      </c>
      <c r="D46" s="31" t="s">
        <v>156</v>
      </c>
      <c r="E46" s="31" t="s">
        <v>61</v>
      </c>
      <c r="F46" s="32">
        <v>32.9</v>
      </c>
      <c r="G46" s="32">
        <v>37.3</v>
      </c>
      <c r="H46" s="30" t="s">
        <v>77</v>
      </c>
      <c r="I46" s="35">
        <v>97</v>
      </c>
    </row>
    <row r="47" ht="27" spans="1:9">
      <c r="A47" s="28">
        <v>61</v>
      </c>
      <c r="B47" s="29" t="s">
        <v>103</v>
      </c>
      <c r="C47" s="30">
        <v>28</v>
      </c>
      <c r="D47" s="31" t="s">
        <v>103</v>
      </c>
      <c r="E47" s="31" t="s">
        <v>99</v>
      </c>
      <c r="F47" s="32">
        <v>14.4</v>
      </c>
      <c r="G47" s="32">
        <v>16.1</v>
      </c>
      <c r="H47" s="30" t="s">
        <v>100</v>
      </c>
      <c r="I47" s="35">
        <v>224</v>
      </c>
    </row>
    <row r="48" ht="27" spans="1:9">
      <c r="A48" s="28">
        <v>62</v>
      </c>
      <c r="B48" s="29" t="s">
        <v>104</v>
      </c>
      <c r="C48" s="30">
        <v>29</v>
      </c>
      <c r="D48" s="31" t="s">
        <v>105</v>
      </c>
      <c r="E48" s="31" t="s">
        <v>61</v>
      </c>
      <c r="F48" s="32">
        <v>9.5</v>
      </c>
      <c r="G48" s="32">
        <v>10.6</v>
      </c>
      <c r="H48" s="30" t="s">
        <v>100</v>
      </c>
      <c r="I48" s="35">
        <v>340</v>
      </c>
    </row>
    <row r="49" ht="13.5" spans="1:9">
      <c r="A49" s="28">
        <v>60</v>
      </c>
      <c r="B49" s="29" t="s">
        <v>106</v>
      </c>
      <c r="C49" s="30">
        <v>30</v>
      </c>
      <c r="D49" s="31" t="s">
        <v>157</v>
      </c>
      <c r="E49" s="31" t="s">
        <v>61</v>
      </c>
      <c r="F49" s="32">
        <v>11.4</v>
      </c>
      <c r="G49" s="32">
        <v>13</v>
      </c>
      <c r="H49" s="30" t="s">
        <v>87</v>
      </c>
      <c r="I49" s="35">
        <v>277</v>
      </c>
    </row>
    <row r="50" ht="27" spans="1:9">
      <c r="A50" s="28">
        <v>64</v>
      </c>
      <c r="B50" s="29" t="s">
        <v>109</v>
      </c>
      <c r="C50" s="30">
        <v>31</v>
      </c>
      <c r="D50" s="31" t="s">
        <v>158</v>
      </c>
      <c r="E50" s="31" t="s">
        <v>61</v>
      </c>
      <c r="F50" s="32">
        <v>15.3</v>
      </c>
      <c r="G50" s="32">
        <v>17.2</v>
      </c>
      <c r="H50" s="30" t="s">
        <v>77</v>
      </c>
      <c r="I50" s="35">
        <v>209</v>
      </c>
    </row>
    <row r="51" ht="13.5" spans="1:9">
      <c r="A51" s="25"/>
      <c r="B51" s="26" t="s">
        <v>111</v>
      </c>
      <c r="C51" s="17"/>
      <c r="D51" s="27" t="s">
        <v>111</v>
      </c>
      <c r="E51" s="27"/>
      <c r="F51" s="27"/>
      <c r="G51" s="27"/>
      <c r="H51" s="27"/>
      <c r="I51" s="27"/>
    </row>
    <row r="52" ht="13.5" spans="1:9">
      <c r="A52" s="28">
        <v>67</v>
      </c>
      <c r="B52" s="29" t="s">
        <v>112</v>
      </c>
      <c r="C52" s="30">
        <v>32</v>
      </c>
      <c r="D52" s="31" t="s">
        <v>112</v>
      </c>
      <c r="E52" s="31" t="s">
        <v>99</v>
      </c>
      <c r="F52" s="32">
        <v>21.2</v>
      </c>
      <c r="G52" s="32">
        <v>23.7</v>
      </c>
      <c r="H52" s="30" t="s">
        <v>87</v>
      </c>
      <c r="I52" s="35">
        <v>152</v>
      </c>
    </row>
    <row r="53" ht="13.5" spans="1:9">
      <c r="A53" s="28">
        <v>66</v>
      </c>
      <c r="B53" s="29" t="s">
        <v>113</v>
      </c>
      <c r="C53" s="30">
        <v>33</v>
      </c>
      <c r="D53" s="31" t="s">
        <v>159</v>
      </c>
      <c r="E53" s="31" t="s">
        <v>61</v>
      </c>
      <c r="F53" s="32">
        <v>17.2</v>
      </c>
      <c r="G53" s="32">
        <v>19.5</v>
      </c>
      <c r="H53" s="30" t="s">
        <v>87</v>
      </c>
      <c r="I53" s="35">
        <v>185</v>
      </c>
    </row>
    <row r="54" s="4" customFormat="1" ht="13.5" spans="1:9">
      <c r="A54" s="28">
        <v>56</v>
      </c>
      <c r="B54" s="29" t="s">
        <v>114</v>
      </c>
      <c r="C54" s="30">
        <v>34</v>
      </c>
      <c r="D54" s="31" t="s">
        <v>114</v>
      </c>
      <c r="E54" s="31" t="s">
        <v>99</v>
      </c>
      <c r="F54" s="32">
        <v>15.3</v>
      </c>
      <c r="G54" s="32">
        <v>17</v>
      </c>
      <c r="H54" s="30" t="s">
        <v>77</v>
      </c>
      <c r="I54" s="35">
        <v>212</v>
      </c>
    </row>
    <row r="55" s="4" customFormat="1" ht="13.5" spans="1:9">
      <c r="A55" s="28">
        <v>49</v>
      </c>
      <c r="B55" s="33" t="s">
        <v>115</v>
      </c>
      <c r="C55" s="30">
        <v>62</v>
      </c>
      <c r="D55" s="31" t="s">
        <v>160</v>
      </c>
      <c r="E55" s="31" t="s">
        <v>61</v>
      </c>
      <c r="F55" s="32">
        <v>13.6</v>
      </c>
      <c r="G55" s="32">
        <v>15.5</v>
      </c>
      <c r="H55" s="30" t="s">
        <v>100</v>
      </c>
      <c r="I55" s="35">
        <v>232</v>
      </c>
    </row>
    <row r="56" ht="13.5" spans="1:9">
      <c r="A56" s="25"/>
      <c r="B56" s="26" t="s">
        <v>117</v>
      </c>
      <c r="C56" s="17"/>
      <c r="D56" s="27" t="s">
        <v>117</v>
      </c>
      <c r="E56" s="27"/>
      <c r="F56" s="27"/>
      <c r="G56" s="27"/>
      <c r="H56" s="27"/>
      <c r="I56" s="27"/>
    </row>
    <row r="57" ht="13.5" spans="1:9">
      <c r="A57" s="28">
        <v>27</v>
      </c>
      <c r="B57" s="29" t="s">
        <v>118</v>
      </c>
      <c r="C57" s="30">
        <v>35</v>
      </c>
      <c r="D57" s="31" t="s">
        <v>119</v>
      </c>
      <c r="E57" s="31" t="s">
        <v>40</v>
      </c>
      <c r="F57" s="32">
        <v>27</v>
      </c>
      <c r="G57" s="32">
        <v>29.8</v>
      </c>
      <c r="H57" s="30" t="s">
        <v>33</v>
      </c>
      <c r="I57" s="35">
        <v>121</v>
      </c>
    </row>
    <row r="58" ht="27" spans="1:9">
      <c r="A58" s="28">
        <v>30</v>
      </c>
      <c r="B58" s="29" t="s">
        <v>93</v>
      </c>
      <c r="C58" s="30">
        <v>24</v>
      </c>
      <c r="D58" s="31" t="s">
        <v>161</v>
      </c>
      <c r="E58" s="31" t="s">
        <v>61</v>
      </c>
      <c r="F58" s="32">
        <v>54.1</v>
      </c>
      <c r="G58" s="32">
        <v>60.7</v>
      </c>
      <c r="H58" s="30" t="s">
        <v>92</v>
      </c>
      <c r="I58" s="35">
        <v>59</v>
      </c>
    </row>
    <row r="59" ht="27" spans="1:9">
      <c r="A59" s="28">
        <v>55</v>
      </c>
      <c r="B59" s="29" t="s">
        <v>120</v>
      </c>
      <c r="C59" s="30">
        <v>36</v>
      </c>
      <c r="D59" s="31" t="s">
        <v>162</v>
      </c>
      <c r="E59" s="31" t="s">
        <v>99</v>
      </c>
      <c r="F59" s="32">
        <v>43.9</v>
      </c>
      <c r="G59" s="32">
        <v>49.4</v>
      </c>
      <c r="H59" s="30" t="s">
        <v>77</v>
      </c>
      <c r="I59" s="35">
        <v>73</v>
      </c>
    </row>
    <row r="60" ht="27" spans="1:9">
      <c r="A60" s="28">
        <v>68</v>
      </c>
      <c r="B60" s="33" t="s">
        <v>131</v>
      </c>
      <c r="C60" s="30">
        <v>64</v>
      </c>
      <c r="D60" s="31" t="s">
        <v>132</v>
      </c>
      <c r="E60" s="31" t="s">
        <v>133</v>
      </c>
      <c r="F60" s="32">
        <v>31.6</v>
      </c>
      <c r="G60" s="32">
        <v>35.6</v>
      </c>
      <c r="H60" s="30" t="s">
        <v>37</v>
      </c>
      <c r="I60" s="35">
        <v>101</v>
      </c>
    </row>
    <row r="61" ht="13.5" spans="1:9">
      <c r="A61" s="28">
        <v>37</v>
      </c>
      <c r="B61" s="29" t="s">
        <v>122</v>
      </c>
      <c r="C61" s="30">
        <v>37</v>
      </c>
      <c r="D61" s="31" t="s">
        <v>123</v>
      </c>
      <c r="E61" s="31" t="s">
        <v>99</v>
      </c>
      <c r="F61" s="32">
        <v>28</v>
      </c>
      <c r="G61" s="32">
        <v>31.5</v>
      </c>
      <c r="H61" s="30" t="s">
        <v>77</v>
      </c>
      <c r="I61" s="35">
        <v>114</v>
      </c>
    </row>
    <row r="62" ht="27" spans="1:9">
      <c r="A62" s="28">
        <v>50</v>
      </c>
      <c r="B62" s="34" t="s">
        <v>124</v>
      </c>
      <c r="C62" s="30">
        <v>38</v>
      </c>
      <c r="D62" s="31" t="s">
        <v>125</v>
      </c>
      <c r="E62" s="31" t="s">
        <v>61</v>
      </c>
      <c r="F62" s="32">
        <v>46.1</v>
      </c>
      <c r="G62" s="32">
        <v>51.9</v>
      </c>
      <c r="H62" s="30" t="s">
        <v>110</v>
      </c>
      <c r="I62" s="35">
        <v>69</v>
      </c>
    </row>
    <row r="63" ht="13.5" spans="1:9">
      <c r="A63" s="28">
        <v>38</v>
      </c>
      <c r="B63" s="29" t="s">
        <v>127</v>
      </c>
      <c r="C63" s="30">
        <v>39</v>
      </c>
      <c r="D63" s="31" t="s">
        <v>163</v>
      </c>
      <c r="E63" s="31" t="s">
        <v>99</v>
      </c>
      <c r="F63" s="32">
        <v>22.7</v>
      </c>
      <c r="G63" s="32">
        <v>25.5</v>
      </c>
      <c r="H63" s="30" t="s">
        <v>37</v>
      </c>
      <c r="I63" s="35">
        <v>141</v>
      </c>
    </row>
    <row r="64" ht="27" spans="1:9">
      <c r="A64" s="28">
        <v>58</v>
      </c>
      <c r="B64" s="29" t="s">
        <v>129</v>
      </c>
      <c r="C64" s="30">
        <v>40</v>
      </c>
      <c r="D64" s="31" t="s">
        <v>130</v>
      </c>
      <c r="E64" s="31" t="s">
        <v>61</v>
      </c>
      <c r="F64" s="32">
        <v>18.4</v>
      </c>
      <c r="G64" s="32">
        <v>20.4</v>
      </c>
      <c r="H64" s="30" t="s">
        <v>37</v>
      </c>
      <c r="I64" s="35">
        <v>176</v>
      </c>
    </row>
    <row r="65" ht="13.5" spans="1:9">
      <c r="A65" s="28">
        <v>98</v>
      </c>
      <c r="B65" s="29" t="s">
        <v>164</v>
      </c>
      <c r="C65" s="37">
        <v>68</v>
      </c>
      <c r="D65" s="38" t="s">
        <v>164</v>
      </c>
      <c r="E65" s="38" t="s">
        <v>40</v>
      </c>
      <c r="F65" s="39">
        <v>7.2</v>
      </c>
      <c r="G65" s="39">
        <v>8</v>
      </c>
      <c r="H65" s="37" t="s">
        <v>56</v>
      </c>
      <c r="I65" s="50">
        <v>450</v>
      </c>
    </row>
    <row r="66" ht="27" spans="1:9">
      <c r="A66" s="28">
        <v>65</v>
      </c>
      <c r="B66" s="29" t="s">
        <v>134</v>
      </c>
      <c r="C66" s="30">
        <v>41</v>
      </c>
      <c r="D66" s="31" t="s">
        <v>135</v>
      </c>
      <c r="E66" s="31" t="s">
        <v>61</v>
      </c>
      <c r="F66" s="32">
        <v>33</v>
      </c>
      <c r="G66" s="40">
        <v>37.3</v>
      </c>
      <c r="H66" s="30" t="s">
        <v>92</v>
      </c>
      <c r="I66" s="35">
        <v>97</v>
      </c>
    </row>
    <row r="67" ht="13.5" spans="1:10">
      <c r="A67" s="41">
        <v>91</v>
      </c>
      <c r="B67" s="42" t="s">
        <v>165</v>
      </c>
      <c r="C67" s="30"/>
      <c r="D67" s="31"/>
      <c r="E67" s="31"/>
      <c r="F67" s="32"/>
      <c r="G67" s="40"/>
      <c r="H67" s="30"/>
      <c r="I67" s="35"/>
      <c r="J67" s="51" t="s">
        <v>166</v>
      </c>
    </row>
    <row r="68" ht="13.5" spans="1:10">
      <c r="A68" s="41">
        <v>92</v>
      </c>
      <c r="B68" s="42" t="s">
        <v>167</v>
      </c>
      <c r="C68" s="30"/>
      <c r="D68" s="31"/>
      <c r="E68" s="31"/>
      <c r="F68" s="32"/>
      <c r="G68" s="40"/>
      <c r="H68" s="30"/>
      <c r="I68" s="35"/>
      <c r="J68" s="51" t="s">
        <v>166</v>
      </c>
    </row>
    <row r="69" ht="13.5" spans="1:9">
      <c r="A69" s="28">
        <v>120</v>
      </c>
      <c r="B69" s="29" t="s">
        <v>136</v>
      </c>
      <c r="C69" s="30">
        <v>42</v>
      </c>
      <c r="D69" s="31" t="s">
        <v>137</v>
      </c>
      <c r="E69" s="31" t="s">
        <v>40</v>
      </c>
      <c r="F69" s="32">
        <v>41.2</v>
      </c>
      <c r="G69" s="32">
        <v>45.6</v>
      </c>
      <c r="H69" s="30" t="s">
        <v>68</v>
      </c>
      <c r="I69" s="35">
        <v>79</v>
      </c>
    </row>
    <row r="70" ht="13.5" spans="1:9">
      <c r="A70" s="25"/>
      <c r="B70" s="26" t="s">
        <v>138</v>
      </c>
      <c r="C70" s="17"/>
      <c r="D70" s="27" t="s">
        <v>138</v>
      </c>
      <c r="E70" s="27"/>
      <c r="F70" s="27"/>
      <c r="G70" s="27"/>
      <c r="H70" s="27"/>
      <c r="I70" s="27"/>
    </row>
    <row r="71" ht="13.5" spans="1:9">
      <c r="A71" s="28">
        <v>35</v>
      </c>
      <c r="B71" s="29" t="s">
        <v>139</v>
      </c>
      <c r="C71" s="30">
        <v>43</v>
      </c>
      <c r="D71" s="31" t="s">
        <v>168</v>
      </c>
      <c r="E71" s="31" t="s">
        <v>141</v>
      </c>
      <c r="F71" s="32">
        <v>31.1</v>
      </c>
      <c r="G71" s="32">
        <v>35</v>
      </c>
      <c r="H71" s="30" t="s">
        <v>68</v>
      </c>
      <c r="I71" s="35">
        <v>117</v>
      </c>
    </row>
    <row r="72" ht="13.5" spans="1:10">
      <c r="A72" s="28">
        <v>31</v>
      </c>
      <c r="B72" s="29" t="s">
        <v>169</v>
      </c>
      <c r="C72" s="30">
        <v>69</v>
      </c>
      <c r="D72" s="31" t="s">
        <v>170</v>
      </c>
      <c r="E72" s="31" t="s">
        <v>141</v>
      </c>
      <c r="F72" s="32">
        <v>19</v>
      </c>
      <c r="G72" s="32">
        <v>21.1</v>
      </c>
      <c r="H72" s="30" t="s">
        <v>68</v>
      </c>
      <c r="I72" s="35">
        <v>171</v>
      </c>
      <c r="J72" s="52" t="s">
        <v>171</v>
      </c>
    </row>
    <row r="73" ht="13.5" spans="1:10">
      <c r="A73" s="28">
        <v>32</v>
      </c>
      <c r="B73" s="29" t="s">
        <v>172</v>
      </c>
      <c r="C73" s="30">
        <v>43</v>
      </c>
      <c r="D73" s="31" t="s">
        <v>173</v>
      </c>
      <c r="E73" s="31" t="s">
        <v>141</v>
      </c>
      <c r="F73" s="32">
        <v>16.2</v>
      </c>
      <c r="G73" s="32">
        <v>17.9</v>
      </c>
      <c r="H73" s="30" t="s">
        <v>68</v>
      </c>
      <c r="I73" s="35">
        <v>201</v>
      </c>
      <c r="J73" s="52"/>
    </row>
    <row r="74" ht="13.5" spans="1:9">
      <c r="A74" s="28">
        <v>90</v>
      </c>
      <c r="B74" s="29" t="s">
        <v>142</v>
      </c>
      <c r="C74" s="30">
        <v>44</v>
      </c>
      <c r="D74" s="31" t="s">
        <v>143</v>
      </c>
      <c r="E74" s="31" t="s">
        <v>40</v>
      </c>
      <c r="F74" s="32">
        <v>32.9</v>
      </c>
      <c r="G74" s="32">
        <v>36.4</v>
      </c>
      <c r="H74" s="30" t="s">
        <v>33</v>
      </c>
      <c r="I74" s="35">
        <v>99</v>
      </c>
    </row>
    <row r="75" ht="13.5" spans="1:9">
      <c r="A75" s="43"/>
      <c r="B75" s="33" t="s">
        <v>144</v>
      </c>
      <c r="C75" s="44"/>
      <c r="D75" s="33"/>
      <c r="E75" s="31"/>
      <c r="F75" s="32"/>
      <c r="G75" s="32"/>
      <c r="H75" s="30"/>
      <c r="I75" s="35"/>
    </row>
    <row r="76" ht="13.5" spans="1:10">
      <c r="A76" s="45">
        <v>93</v>
      </c>
      <c r="B76" s="46" t="s">
        <v>174</v>
      </c>
      <c r="C76" s="44"/>
      <c r="D76" s="33"/>
      <c r="E76" s="31"/>
      <c r="F76" s="32"/>
      <c r="G76" s="32"/>
      <c r="H76" s="30"/>
      <c r="I76" s="35"/>
      <c r="J76" s="51" t="s">
        <v>166</v>
      </c>
    </row>
    <row r="77" ht="12" customHeight="1" spans="1:9">
      <c r="A77" s="43">
        <v>103</v>
      </c>
      <c r="B77" s="33" t="s">
        <v>147</v>
      </c>
      <c r="C77" s="44">
        <v>46</v>
      </c>
      <c r="D77" s="33" t="s">
        <v>147</v>
      </c>
      <c r="E77" s="31" t="s">
        <v>175</v>
      </c>
      <c r="F77" s="32">
        <v>37.2</v>
      </c>
      <c r="G77" s="32">
        <v>41.9</v>
      </c>
      <c r="H77" s="30" t="s">
        <v>92</v>
      </c>
      <c r="I77" s="35">
        <v>86</v>
      </c>
    </row>
    <row r="78" spans="1:9">
      <c r="A78" s="28">
        <v>180</v>
      </c>
      <c r="B78" s="29" t="s">
        <v>176</v>
      </c>
      <c r="C78" s="47">
        <v>72</v>
      </c>
      <c r="D78" s="29" t="s">
        <v>177</v>
      </c>
      <c r="E78" s="29" t="s">
        <v>40</v>
      </c>
      <c r="F78" s="48">
        <v>17.9</v>
      </c>
      <c r="G78" s="48">
        <v>19.8</v>
      </c>
      <c r="H78" s="47" t="s">
        <v>56</v>
      </c>
      <c r="I78" s="53">
        <v>252</v>
      </c>
    </row>
    <row r="79" ht="18" customHeight="1" spans="1:9">
      <c r="A79" s="28">
        <v>104</v>
      </c>
      <c r="B79" s="29" t="s">
        <v>178</v>
      </c>
      <c r="C79" s="47">
        <v>71</v>
      </c>
      <c r="D79" s="29" t="s">
        <v>179</v>
      </c>
      <c r="E79" s="29" t="s">
        <v>40</v>
      </c>
      <c r="F79" s="48">
        <v>53.3</v>
      </c>
      <c r="G79" s="48">
        <v>58.9</v>
      </c>
      <c r="H79" s="47" t="s">
        <v>68</v>
      </c>
      <c r="I79" s="53">
        <v>61</v>
      </c>
    </row>
    <row r="80" ht="18" customHeight="1" spans="1:9">
      <c r="A80" s="28">
        <v>105</v>
      </c>
      <c r="B80" s="29" t="s">
        <v>148</v>
      </c>
      <c r="C80" s="47">
        <v>47</v>
      </c>
      <c r="D80" s="29" t="s">
        <v>180</v>
      </c>
      <c r="E80" s="29" t="s">
        <v>40</v>
      </c>
      <c r="F80" s="48">
        <v>37.3</v>
      </c>
      <c r="G80" s="48">
        <v>41.2</v>
      </c>
      <c r="H80" s="47" t="s">
        <v>68</v>
      </c>
      <c r="I80" s="53">
        <v>87</v>
      </c>
    </row>
    <row r="81" ht="13.5" spans="1:9">
      <c r="A81" s="43">
        <v>154</v>
      </c>
      <c r="B81" s="33" t="s">
        <v>149</v>
      </c>
      <c r="C81" s="44">
        <v>54</v>
      </c>
      <c r="D81" s="33" t="s">
        <v>181</v>
      </c>
      <c r="E81" s="31" t="s">
        <v>40</v>
      </c>
      <c r="F81" s="32">
        <v>14</v>
      </c>
      <c r="G81" s="32">
        <v>15.5</v>
      </c>
      <c r="H81" s="30" t="s">
        <v>56</v>
      </c>
      <c r="I81" s="35">
        <v>232</v>
      </c>
    </row>
    <row r="82" ht="13.5" spans="1:9">
      <c r="A82" s="43">
        <v>43</v>
      </c>
      <c r="B82" s="33" t="s">
        <v>182</v>
      </c>
      <c r="C82" s="44">
        <v>48</v>
      </c>
      <c r="D82" s="33" t="s">
        <v>182</v>
      </c>
      <c r="E82" s="31" t="s">
        <v>40</v>
      </c>
      <c r="F82" s="32">
        <v>5.9</v>
      </c>
      <c r="G82" s="32">
        <v>6.5</v>
      </c>
      <c r="H82" s="30" t="s">
        <v>56</v>
      </c>
      <c r="I82" s="35">
        <v>554</v>
      </c>
    </row>
    <row r="83" ht="13.5" spans="1:9">
      <c r="A83" s="43">
        <v>172</v>
      </c>
      <c r="B83" s="33" t="s">
        <v>183</v>
      </c>
      <c r="C83" s="44">
        <v>70</v>
      </c>
      <c r="D83" s="33" t="s">
        <v>183</v>
      </c>
      <c r="E83" s="31" t="s">
        <v>40</v>
      </c>
      <c r="F83" s="32">
        <v>3.7</v>
      </c>
      <c r="G83" s="32">
        <v>4.1</v>
      </c>
      <c r="H83" s="30" t="s">
        <v>56</v>
      </c>
      <c r="I83" s="35">
        <v>878</v>
      </c>
    </row>
    <row r="84" ht="67.5" spans="1:9">
      <c r="A84" s="43">
        <v>165</v>
      </c>
      <c r="B84" s="33" t="s">
        <v>184</v>
      </c>
      <c r="C84" s="44">
        <v>60</v>
      </c>
      <c r="D84" s="33" t="s">
        <v>185</v>
      </c>
      <c r="E84" s="31" t="s">
        <v>40</v>
      </c>
      <c r="F84" s="32">
        <v>14.3</v>
      </c>
      <c r="G84" s="32">
        <v>15.8</v>
      </c>
      <c r="H84" s="30" t="s">
        <v>56</v>
      </c>
      <c r="I84" s="35">
        <v>248</v>
      </c>
    </row>
    <row r="85" ht="13.5" spans="1:9">
      <c r="A85" s="43">
        <v>169</v>
      </c>
      <c r="B85" s="33" t="s">
        <v>186</v>
      </c>
      <c r="C85" s="44">
        <v>61</v>
      </c>
      <c r="D85" s="33" t="s">
        <v>186</v>
      </c>
      <c r="E85" s="31" t="s">
        <v>40</v>
      </c>
      <c r="F85" s="32">
        <v>0.9</v>
      </c>
      <c r="G85" s="32">
        <v>1</v>
      </c>
      <c r="H85" s="30" t="s">
        <v>56</v>
      </c>
      <c r="I85" s="35">
        <v>3600</v>
      </c>
    </row>
    <row r="86" ht="13.5" spans="1:9">
      <c r="A86" s="43"/>
      <c r="B86" s="33"/>
      <c r="C86" s="44"/>
      <c r="D86" s="33"/>
      <c r="E86" s="31"/>
      <c r="F86" s="32"/>
      <c r="G86" s="32"/>
      <c r="H86" s="30"/>
      <c r="I86" s="35"/>
    </row>
    <row r="87" s="5" customFormat="1" ht="13.5" spans="1:9">
      <c r="A87" s="49" t="s">
        <v>150</v>
      </c>
      <c r="B87" s="49"/>
      <c r="C87" s="49"/>
      <c r="D87" s="49"/>
      <c r="E87" s="49"/>
      <c r="F87" s="49"/>
      <c r="G87" s="49"/>
      <c r="H87" s="49"/>
      <c r="I87" s="49"/>
    </row>
    <row r="88" ht="13.5"/>
    <row r="89" ht="13.5"/>
    <row r="90" ht="13.5"/>
    <row r="91" ht="13.5"/>
    <row r="92" ht="13.5"/>
    <row r="93" ht="13.5"/>
    <row r="94" ht="13.5"/>
    <row r="95" ht="13.5"/>
    <row r="96" ht="13.5"/>
    <row r="97" ht="13.5"/>
    <row r="98" ht="13.5"/>
    <row r="99" ht="13.5"/>
    <row r="100" ht="13.5"/>
    <row r="101" ht="13.5"/>
    <row r="102" ht="13.5"/>
    <row r="103" ht="13.5"/>
    <row r="104" ht="13.5"/>
    <row r="105" ht="13.5"/>
    <row r="106" ht="13.5"/>
    <row r="107" ht="13.5"/>
    <row r="108" ht="13.5"/>
    <row r="109" ht="13.5"/>
    <row r="110" ht="13.5"/>
    <row r="111" ht="13.5"/>
    <row r="112" ht="13.5"/>
    <row r="113" ht="13.5"/>
    <row r="114" ht="13.5"/>
    <row r="115" ht="13.5"/>
    <row r="116" ht="13.5"/>
    <row r="117" ht="13.5"/>
    <row r="118" ht="13.5"/>
    <row r="119" ht="13.5"/>
    <row r="120" ht="13.5"/>
    <row r="121" ht="13.5"/>
    <row r="122" ht="13.5"/>
    <row r="123" ht="13.5"/>
    <row r="124" ht="13.5"/>
    <row r="125" ht="13.5"/>
    <row r="126" ht="13.5"/>
    <row r="127" ht="13.5"/>
    <row r="128" ht="13.5"/>
    <row r="129" ht="13.5"/>
    <row r="130" ht="13.5"/>
    <row r="131" ht="13.5"/>
    <row r="132" ht="13.5"/>
    <row r="133" ht="13.5"/>
    <row r="134" ht="13.5"/>
    <row r="135" ht="13.5"/>
    <row r="136" ht="13.5"/>
  </sheetData>
  <mergeCells count="17">
    <mergeCell ref="A1:I1"/>
    <mergeCell ref="A2:I2"/>
    <mergeCell ref="A3:I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87:I87"/>
    <mergeCell ref="J72:J73"/>
    <mergeCell ref="G4:I14"/>
  </mergeCells>
  <conditionalFormatting sqref="A86">
    <cfRule type="duplicateValues" dxfId="1" priority="2"/>
  </conditionalFormatting>
  <conditionalFormatting sqref="A16:A85">
    <cfRule type="expression" dxfId="0" priority="7">
      <formula>AND(SUMPRODUCT(IFERROR(1*(($A$16:$A$85&amp;"x")=(A16&amp;"x")),0))&gt;1,NOT(ISBLANK(A16)))</formula>
    </cfRule>
  </conditionalFormatting>
  <conditionalFormatting sqref="A1:A14 A87:A1048576">
    <cfRule type="duplicateValues" dxfId="2" priority="4"/>
  </conditionalFormatting>
  <conditionalFormatting sqref="D1:D14 D87:D1048576">
    <cfRule type="duplicateValues" dxfId="2" priority="3"/>
  </conditionalFormatting>
  <printOptions horizontalCentered="1"/>
  <pageMargins left="0.0784722222222222" right="0.0784722222222222" top="0.397222222222222" bottom="0.397222222222222" header="0.196527777777778" footer="0.196527777777778"/>
  <pageSetup paperSize="9" scale="92" fitToWidth="0" orientation="portrait" horizontalDpi="600"/>
  <headerFooter>
    <oddFooter>&amp;R&amp;D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AAV10276</vt:lpstr>
      <vt:lpstr>AAV10276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ღ᭄秀秀໑ຼ₀₂₃</cp:lastModifiedBy>
  <dcterms:created xsi:type="dcterms:W3CDTF">2024-07-12T00:41:00Z</dcterms:created>
  <dcterms:modified xsi:type="dcterms:W3CDTF">2025-09-02T03:20:54Z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0A786B394F1C4DF898279F4722393232_13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