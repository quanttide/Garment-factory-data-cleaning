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12D0392" sheetId="1" r:id="rId1"/>
  </sheets>
  <definedNames>
    <definedName name="_xlnm.Print_Titles" localSheetId="0">'12D0392'!$1:$11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<sst xmlns="http://schemas.openxmlformats.org/spreadsheetml/2006/main" count="398" uniqueCount="183">
  <si>
    <t>重庆尚上服饰有限公司</t>
  </si>
  <si>
    <t>款式工序表</t>
  </si>
  <si>
    <t>打印日期：2024-09-25 11:26:40</t>
  </si>
  <si>
    <t>生产制单号：</t>
  </si>
  <si>
    <t>==</t>
  </si>
  <si>
    <t>客　　户：</t>
  </si>
  <si>
    <t>CUST0303</t>
  </si>
  <si>
    <t>客户款号：</t>
  </si>
  <si>
    <t>12D0392</t>
  </si>
  <si>
    <t>款式描述：</t>
  </si>
  <si>
    <t>摇粒绒拉链衫</t>
  </si>
  <si>
    <t>品质标准：</t>
  </si>
  <si>
    <t>数　　量：</t>
  </si>
  <si>
    <t>车缝时间：</t>
  </si>
  <si>
    <t>车缝10H台产：</t>
  </si>
  <si>
    <t>裁床10H台产：</t>
  </si>
  <si>
    <t>尾部10H台产</t>
  </si>
  <si>
    <t>裁床单价：</t>
  </si>
  <si>
    <t>车缝单价：</t>
  </si>
  <si>
    <t>后道单价：</t>
  </si>
  <si>
    <t>总 单 价：</t>
  </si>
  <si>
    <t>平均秒值：</t>
  </si>
  <si>
    <t>分 析 员：</t>
  </si>
  <si>
    <t>LJ-赖菊</t>
  </si>
  <si>
    <t>工序号</t>
  </si>
  <si>
    <t>工序名称</t>
  </si>
  <si>
    <t>机器类型</t>
  </si>
  <si>
    <t>基础时间</t>
  </si>
  <si>
    <t>GST时间</t>
  </si>
  <si>
    <t>工序等级</t>
  </si>
  <si>
    <t>小时目标</t>
  </si>
  <si>
    <t>1-裁床</t>
  </si>
  <si>
    <t>松布机松面布*1.1052</t>
  </si>
  <si>
    <t>松布机</t>
  </si>
  <si>
    <t>E2</t>
  </si>
  <si>
    <t>松布机松袋布*0.14</t>
  </si>
  <si>
    <t>拉布机拉面布*1.125</t>
  </si>
  <si>
    <t>拉布机</t>
  </si>
  <si>
    <t>E3</t>
  </si>
  <si>
    <t>拉布机拉袋布*0.14</t>
  </si>
  <si>
    <t>拉布机拉衬布*0.065</t>
  </si>
  <si>
    <t>电脑裁剪衬布*2</t>
  </si>
  <si>
    <t>电脑裁床</t>
  </si>
  <si>
    <t>D4</t>
  </si>
  <si>
    <t>电脑裁剪面布*11</t>
  </si>
  <si>
    <t>电脑裁剪袋布*5（袋布、门筒）</t>
  </si>
  <si>
    <t>电脑裁剪</t>
  </si>
  <si>
    <t>面布分包*11</t>
  </si>
  <si>
    <t>手工面布分包*11</t>
  </si>
  <si>
    <t>手工</t>
  </si>
  <si>
    <t>袋布分包*3（袋布、门筒）</t>
  </si>
  <si>
    <t>手工袋布分包*3（袋布、门筒）</t>
  </si>
  <si>
    <t>衬分包*2</t>
  </si>
  <si>
    <t>手工衬分包*2</t>
  </si>
  <si>
    <t>手工验片/配片*11</t>
  </si>
  <si>
    <t>捆条机切捆条*0.0145</t>
  </si>
  <si>
    <t>切捆条机</t>
  </si>
  <si>
    <t>中烫门筒衬*1</t>
  </si>
  <si>
    <t>中烫（气烫）</t>
  </si>
  <si>
    <t>中烫面领衬*1</t>
  </si>
  <si>
    <t>2-小部件</t>
  </si>
  <si>
    <t>蒸箱蒸弹力线(个）</t>
  </si>
  <si>
    <t>蒸箱</t>
  </si>
  <si>
    <t>E1</t>
  </si>
  <si>
    <t>蒸箱蒸织带/米</t>
  </si>
  <si>
    <t>蒸箱蒸包边弹力带/米</t>
  </si>
  <si>
    <t>蒸缩袖口橡筋/米</t>
  </si>
  <si>
    <t>手工回织带/米</t>
  </si>
  <si>
    <t>冚车拉前袋嵌条</t>
  </si>
  <si>
    <t>电脑单针双线冚车</t>
  </si>
  <si>
    <t>D1</t>
  </si>
  <si>
    <t>手工量剪前袋嵌条*2（车台定位）</t>
  </si>
  <si>
    <t>平车封拉链头并拉上拉链*3</t>
  </si>
  <si>
    <t>电脑平车</t>
  </si>
  <si>
    <t>E4</t>
  </si>
  <si>
    <t>手工量剪拉链袢*4（车台定位）</t>
  </si>
  <si>
    <t>穿拉链袢连固定*4</t>
  </si>
  <si>
    <t>打枣机打拉链袢枣及翻*4（车台定位）</t>
  </si>
  <si>
    <t>电脑打枣车</t>
  </si>
  <si>
    <t>手工量剪袖口橡筋*2</t>
  </si>
  <si>
    <t>平车拼接袖口橡筋*2</t>
  </si>
  <si>
    <t>手工点袖口橡筋中位*2</t>
  </si>
  <si>
    <t>自动模板运内门筒暗线连激光止口*1</t>
  </si>
  <si>
    <t>自动模板运内门筒暗线连激光止口*1（一个模板4件 不含机器时间）</t>
  </si>
  <si>
    <t>全自动模板机</t>
  </si>
  <si>
    <t>C1</t>
  </si>
  <si>
    <t>翻烫内门筒*1</t>
  </si>
  <si>
    <t>三线锁内门筒</t>
  </si>
  <si>
    <t>三线锁内门筒（车台定位定宽窄)</t>
  </si>
  <si>
    <t>电脑三线锁边车</t>
  </si>
  <si>
    <t>3-领子</t>
  </si>
  <si>
    <t>自动模板运领顶暗线点三刀眼位</t>
  </si>
  <si>
    <t>自动模板运领顶暗线点三刀眼位（一个模板三件）不包含机器时间</t>
  </si>
  <si>
    <t>刀修领顶止口</t>
  </si>
  <si>
    <t>无针切刀车</t>
  </si>
  <si>
    <t>平车拉领缝织带连剪(平车装拉筒）*1</t>
  </si>
  <si>
    <t>4-袖子</t>
  </si>
  <si>
    <t>手工模板收袖省*2</t>
  </si>
  <si>
    <t>平车固定袖子省位倒缝*2</t>
  </si>
  <si>
    <t>5-前片</t>
  </si>
  <si>
    <t>手工修剪拉链两端*2</t>
  </si>
  <si>
    <t>实样扫粉胸袋位*1</t>
  </si>
  <si>
    <t>实样包烫胸袋布*1</t>
  </si>
  <si>
    <t>D3</t>
  </si>
  <si>
    <t>实样点胸袋布位落拉链位1*2</t>
  </si>
  <si>
    <t>#实样点胸袋布位落拉链位1*2</t>
  </si>
  <si>
    <t>平车固定胸袋拉链两端*1</t>
  </si>
  <si>
    <t>B1</t>
  </si>
  <si>
    <t>手工剪开胸袋口*1</t>
  </si>
  <si>
    <t>#手工剪开胸袋口*1</t>
  </si>
  <si>
    <t>C2</t>
  </si>
  <si>
    <t>手工翻胸袋口连暗封袋角*1</t>
  </si>
  <si>
    <t>B2</t>
  </si>
  <si>
    <t>平车落拉链两边于胸袋口*1</t>
  </si>
  <si>
    <t>平车压胸袋口拉链明线一周*1</t>
  </si>
  <si>
    <t>半成品打胸袋口枣1*2</t>
  </si>
  <si>
    <t>平车对位贴胸袋三方*1</t>
  </si>
  <si>
    <t>平车对位贴胸袋三方*1（微弧）</t>
  </si>
  <si>
    <t>手工模板开前袋*2</t>
  </si>
  <si>
    <t>手工模板开前袋*2（放袋布、拉链）</t>
  </si>
  <si>
    <t>手工剪开前袋口*2</t>
  </si>
  <si>
    <t>手工翻前袋口连暗封袋角*2</t>
  </si>
  <si>
    <t>平车转角压前袋口一边明线*2</t>
  </si>
  <si>
    <t>带线刀车落前袋布*2</t>
  </si>
  <si>
    <t>电脑单针切刀车</t>
  </si>
  <si>
    <t>手工翻前袋布*2</t>
  </si>
  <si>
    <t>D2</t>
  </si>
  <si>
    <t>平车压前袋布三边1/4线*2</t>
  </si>
  <si>
    <t>C4</t>
  </si>
  <si>
    <t>平车落前袋口上方拉链*2</t>
  </si>
  <si>
    <t>半成品打前袋口枣2*2</t>
  </si>
  <si>
    <t>平车订前袋嵌条于前中*2*3</t>
  </si>
  <si>
    <t>平车订前袋嵌条于前中*2*2（袋布一端反折订）</t>
  </si>
  <si>
    <t>6-组合</t>
  </si>
  <si>
    <t>挂片</t>
  </si>
  <si>
    <t>挂片/配补片</t>
  </si>
  <si>
    <t>平车订旗标于左侧缝</t>
  </si>
  <si>
    <t>平车订旗标于左侧缝（车台定位）</t>
  </si>
  <si>
    <t>平车合前担干暗线*2</t>
  </si>
  <si>
    <t>平车合前担干暗线*2（注意袋口位）</t>
  </si>
  <si>
    <t>三线锁前袋口拼缝*2</t>
  </si>
  <si>
    <t>C3</t>
  </si>
  <si>
    <t>冚车拉筒拉前袋口拼缝捆条*2</t>
  </si>
  <si>
    <t>冚车拉筒拉前袋口拼缝捆条*2（连剪）</t>
  </si>
  <si>
    <t>平车压前袋口捆条明线*2</t>
  </si>
  <si>
    <t>三线对位上前后插肩袖*2*2</t>
  </si>
  <si>
    <t>冚车拉筒拉前后插肩袖捆条*2*2</t>
  </si>
  <si>
    <t>冚车拉筒拉前后插肩袖捆条*2*2（连剪）</t>
  </si>
  <si>
    <t>平车压前后插肩袖捆条明线*2*2</t>
  </si>
  <si>
    <t>三线对骨合袖底侧缝*2</t>
  </si>
  <si>
    <t>平车订侧缝洗水标*1</t>
  </si>
  <si>
    <t>平车订侧缝洗水标*1（车台定位）</t>
  </si>
  <si>
    <t>冚车拉筒拉袖底缝捆条*2</t>
  </si>
  <si>
    <t>三线锁下摆散口</t>
  </si>
  <si>
    <t>三线锁下摆散口*1</t>
  </si>
  <si>
    <t>冚车拉筒拉下摆织带*1</t>
  </si>
  <si>
    <t>冚车拉筒拉下摆织带*1（连剪）</t>
  </si>
  <si>
    <t>三线锁前门襟散口*2</t>
  </si>
  <si>
    <t>平车落内门筒于拉链</t>
  </si>
  <si>
    <t>平车落内门筒于拉链连反折位一段*1</t>
  </si>
  <si>
    <t>冚车拉筒拉前中拉链左边捆条连剪*2</t>
  </si>
  <si>
    <t>#冚车拉筒拉前中拉链两边捆条连剪*2</t>
  </si>
  <si>
    <t>冚车拉筒拉前中拉链右边捆条连剪*2</t>
  </si>
  <si>
    <t>四线对位上领*1</t>
  </si>
  <si>
    <t>电脑四线锁边车</t>
  </si>
  <si>
    <t>平车跟织带线合里面领暗线</t>
  </si>
  <si>
    <t>#平车跟织带线合里面领暗线</t>
  </si>
  <si>
    <t>点领后中位连落主标</t>
  </si>
  <si>
    <t>平车压领织带明线*1</t>
  </si>
  <si>
    <t>平车运领咀暗线*2</t>
  </si>
  <si>
    <t>修剪领咀止口及翻*2</t>
  </si>
  <si>
    <t>修剪领咀止口及翻*2（套起做）</t>
  </si>
  <si>
    <t>平车对位上前中拉链*1</t>
  </si>
  <si>
    <t>A1</t>
  </si>
  <si>
    <t>平车折叠拉链两边捆条订针连修剪</t>
  </si>
  <si>
    <t>平车压前中拉链明线及领一周</t>
  </si>
  <si>
    <t>翻衣服</t>
  </si>
  <si>
    <t>翻袖子*2</t>
  </si>
  <si>
    <t>四线对位上袖口橡筋*2</t>
  </si>
  <si>
    <t>平车折压袖口明线*2</t>
  </si>
  <si>
    <t>中查</t>
  </si>
  <si>
    <t>检验</t>
  </si>
  <si>
    <t>制表人：钱玲燕      审核：　　　             　 审批：　         批准：                          　　　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</si>
</sst>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  <xf numFmtId="49" fontId="1" fillId="0" borderId="4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left" vertical="center"/>
    </xf>
    <xf numFmtId="9" fontId="1" fillId="0" borderId="3" xfId="0" applyNumberFormat="1" applyFont="1" applyBorder="1" applyAlignment="1">
      <alignment horizontal="left" vertical="center"/>
    </xf>
    <xf numFmtId="9" fontId="1" fillId="0" borderId="4" xfId="0" applyNumberFormat="1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0" fontId="4" fillId="0" borderId="1" xfId="0" applyFont="1" applyBorder="1" applyAlignment="1">
      <alignment horizontal="left" vertical="center"/>
    </xf>
    <xf numFmtId="49" fontId="1" fillId="3" borderId="1" xfId="0" applyNumberFormat="1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horizontal="left" vertical="center" wrapText="1"/>
    </xf>
    <xf numFmtId="176" fontId="1" fillId="0" borderId="1" xfId="0" applyNumberFormat="1" applyFont="1" applyBorder="1" applyAlignment="1">
      <alignment horizontal="left" vertical="center"/>
    </xf>
    <xf numFmtId="177" fontId="1" fillId="0" borderId="1" xfId="0" applyNumberFormat="1" applyFont="1" applyBorder="1" applyAlignment="1">
      <alignment horizontal="left" vertical="center"/>
    </xf>
    <xf numFmtId="0" fontId="1" fillId="3" borderId="1" xfId="0" applyFont="1" applyFill="1" applyBorder="1">
      <alignment vertical="center"/>
    </xf>
    <xf numFmtId="0" fontId="1" fillId="0" borderId="0" xfId="0" applyFont="1" applyAlignment="1">
      <alignment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176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177" fontId="1" fillId="0" borderId="1" xfId="0" applyNumberFormat="1" applyFont="1" applyFill="1" applyBorder="1" applyAlignment="1">
      <alignment horizontal="left" vertical="center"/>
    </xf>
    <xf numFmtId="49" fontId="1" fillId="0" borderId="5" xfId="0" applyNumberFormat="1" applyFont="1" applyBorder="1" applyAlignment="1">
      <alignment horizontal="left" vertical="center" wrapText="1"/>
    </xf>
    <xf numFmtId="176" fontId="1" fillId="0" borderId="5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77" fontId="1" fillId="0" borderId="5" xfId="0" applyNumberFormat="1" applyFont="1" applyBorder="1" applyAlignment="1">
      <alignment horizontal="left" vertical="center"/>
    </xf>
    <xf numFmtId="49" fontId="1" fillId="0" borderId="6" xfId="0" applyNumberFormat="1" applyFont="1" applyBorder="1" applyAlignment="1">
      <alignment horizontal="left" vertical="center" wrapText="1"/>
    </xf>
    <xf numFmtId="176" fontId="1" fillId="0" borderId="6" xfId="0" applyNumberFormat="1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77" fontId="1" fillId="0" borderId="6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1025525</xdr:colOff>
      <xdr:row>1</xdr:row>
      <xdr:rowOff>184150</xdr:rowOff>
    </xdr:from>
    <xdr:to>
      <xdr:col>7</xdr:col>
      <xdr:colOff>400050</xdr:colOff>
      <xdr:row>8</xdr:row>
      <xdr:rowOff>140335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64400" y="508000"/>
          <a:ext cx="2060575" cy="11277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118"/>
  <sheetViews>
    <sheetView tabSelected="1" view="pageBreakPreview" zoomScaleNormal="100" topLeftCell="A69" workbookViewId="0">
      <selection activeCell="C34" sqref="C34"/>
    </sheetView>
  </sheetViews>
  <sheetFormatPr defaultColWidth="9" defaultRowHeight="12"/>
  <cols>
    <col min="1" max="1" width="9.625" style="2" customWidth="1"/>
    <col min="2" max="2" width="31.5" style="1" customWidth="1"/>
    <col min="3" max="3" width="40.75" style="3" customWidth="1"/>
    <col min="4" max="4" width="14.25" style="3" customWidth="1"/>
    <col min="5" max="8" width="7" style="3" customWidth="1"/>
    <col min="9" max="98" width="9" style="1"/>
    <col min="99" max="99" width="59.625" style="1" customWidth="1"/>
    <col min="100" max="16384" width="9" style="1"/>
  </cols>
  <sheetData>
    <row r="1" ht="25.5" spans="1:8">
      <c r="A1" s="4" t="s">
        <v>0</v>
      </c>
      <c r="B1" s="4"/>
      <c r="C1" s="5"/>
      <c r="D1" s="5"/>
      <c r="E1" s="5"/>
      <c r="F1" s="5"/>
      <c r="G1" s="5"/>
      <c r="H1" s="5"/>
    </row>
    <row r="2" ht="20.25" spans="1:8">
      <c r="A2" s="6" t="s">
        <v>1</v>
      </c>
      <c r="B2" s="6"/>
      <c r="C2" s="7"/>
      <c r="D2" s="7"/>
      <c r="E2" s="7"/>
      <c r="F2" s="7"/>
      <c r="G2" s="7"/>
      <c r="H2" s="7"/>
    </row>
    <row r="3" spans="1:8">
      <c r="A3" s="8" t="s">
        <v>2</v>
      </c>
      <c r="B3" s="9"/>
      <c r="C3" s="9"/>
      <c r="D3" s="9"/>
      <c r="E3" s="9"/>
      <c r="F3" s="9"/>
      <c r="G3" s="9"/>
      <c r="H3" s="9"/>
    </row>
    <row r="4" spans="1:8">
      <c r="A4" s="10" t="s">
        <v>3</v>
      </c>
      <c r="B4" s="11" t="s">
        <v>4</v>
      </c>
      <c r="C4" s="12"/>
      <c r="D4" s="12"/>
      <c r="E4" s="13"/>
      <c r="F4" s="9"/>
      <c r="G4" s="9"/>
      <c r="H4" s="9"/>
    </row>
    <row r="5" spans="1:8">
      <c r="A5" s="10" t="s">
        <v>5</v>
      </c>
      <c r="B5" s="14" t="s">
        <v>6</v>
      </c>
      <c r="C5" s="15"/>
      <c r="D5" s="15"/>
      <c r="E5" s="16"/>
      <c r="F5" s="9"/>
      <c r="G5" s="9"/>
      <c r="H5" s="9"/>
    </row>
    <row r="6" spans="1:8">
      <c r="A6" s="10" t="s">
        <v>7</v>
      </c>
      <c r="B6" s="11" t="s">
        <v>8</v>
      </c>
      <c r="C6" s="12"/>
      <c r="D6" s="12"/>
      <c r="E6" s="13"/>
      <c r="F6" s="9"/>
      <c r="G6" s="9"/>
      <c r="H6" s="9"/>
    </row>
    <row r="7" customHeight="1" spans="1:99">
      <c r="A7" s="10" t="s">
        <v>9</v>
      </c>
      <c r="B7" s="17" t="s">
        <v>10</v>
      </c>
      <c r="C7" s="18"/>
      <c r="D7" s="18"/>
      <c r="E7" s="19"/>
      <c r="F7" s="9"/>
      <c r="G7" s="9"/>
      <c r="H7" s="9"/>
      <c r="CU7" s="34"/>
    </row>
    <row r="8" customHeight="1" spans="1:99">
      <c r="A8" s="10" t="s">
        <v>11</v>
      </c>
      <c r="B8" s="17"/>
      <c r="C8" s="18"/>
      <c r="D8" s="18"/>
      <c r="E8" s="19"/>
      <c r="F8" s="9"/>
      <c r="G8" s="9"/>
      <c r="H8" s="9"/>
      <c r="CU8" s="34"/>
    </row>
    <row r="9" spans="1:8">
      <c r="A9" s="10" t="s">
        <v>12</v>
      </c>
      <c r="B9" s="14">
        <v>3720</v>
      </c>
      <c r="C9" s="15"/>
      <c r="D9" s="15"/>
      <c r="E9" s="16"/>
      <c r="F9" s="9"/>
      <c r="G9" s="9"/>
      <c r="H9" s="9"/>
    </row>
    <row r="10" spans="1:8">
      <c r="A10" s="20" t="s">
        <v>13</v>
      </c>
      <c r="B10" s="14">
        <f>SUM(F42:F83,F86:F114)</f>
        <v>1794.3</v>
      </c>
      <c r="C10" s="15"/>
      <c r="D10" s="15"/>
      <c r="E10" s="16"/>
      <c r="F10" s="9"/>
      <c r="G10" s="9"/>
      <c r="H10" s="9"/>
    </row>
    <row r="11" ht="24" spans="1:8">
      <c r="A11" s="20" t="s">
        <v>14</v>
      </c>
      <c r="B11" s="14">
        <f>39600/B10</f>
        <v>22.0698879785989</v>
      </c>
      <c r="C11" s="15"/>
      <c r="D11" s="15"/>
      <c r="E11" s="16"/>
      <c r="F11" s="9"/>
      <c r="G11" s="9"/>
      <c r="H11" s="9"/>
    </row>
    <row r="12" hidden="1" spans="1:8">
      <c r="A12" s="10" t="s">
        <v>15</v>
      </c>
      <c r="B12" s="14"/>
      <c r="C12" s="15"/>
      <c r="D12" s="15"/>
      <c r="E12" s="16"/>
      <c r="F12" s="9"/>
      <c r="G12" s="9"/>
      <c r="H12" s="9"/>
    </row>
    <row r="13" hidden="1" spans="1:8">
      <c r="A13" s="10" t="s">
        <v>16</v>
      </c>
      <c r="B13" s="21"/>
      <c r="C13" s="22"/>
      <c r="D13" s="22"/>
      <c r="E13" s="23"/>
      <c r="F13" s="9"/>
      <c r="G13" s="9"/>
      <c r="H13" s="9"/>
    </row>
    <row r="14" hidden="1" spans="1:8">
      <c r="A14" s="20" t="s">
        <v>17</v>
      </c>
      <c r="B14" s="14"/>
      <c r="C14" s="15"/>
      <c r="D14" s="15"/>
      <c r="E14" s="16"/>
      <c r="F14" s="9"/>
      <c r="G14" s="9"/>
      <c r="H14" s="9"/>
    </row>
    <row r="15" hidden="1" spans="1:8">
      <c r="A15" s="20" t="s">
        <v>18</v>
      </c>
      <c r="B15" s="14"/>
      <c r="C15" s="15"/>
      <c r="D15" s="15"/>
      <c r="E15" s="16"/>
      <c r="F15" s="9"/>
      <c r="G15" s="9"/>
      <c r="H15" s="9"/>
    </row>
    <row r="16" hidden="1" spans="1:8">
      <c r="A16" s="20" t="s">
        <v>19</v>
      </c>
      <c r="B16" s="14"/>
      <c r="C16" s="15"/>
      <c r="D16" s="15"/>
      <c r="E16" s="16"/>
      <c r="F16" s="9"/>
      <c r="G16" s="9"/>
      <c r="H16" s="9"/>
    </row>
    <row r="17" hidden="1" spans="1:8">
      <c r="A17" s="20" t="s">
        <v>20</v>
      </c>
      <c r="B17" s="14"/>
      <c r="C17" s="15"/>
      <c r="D17" s="15"/>
      <c r="E17" s="16"/>
      <c r="F17" s="9"/>
      <c r="G17" s="9"/>
      <c r="H17" s="9"/>
    </row>
    <row r="18" hidden="1" customHeight="1" spans="1:99">
      <c r="A18" s="10" t="s">
        <v>21</v>
      </c>
      <c r="B18" s="17"/>
      <c r="C18" s="18"/>
      <c r="D18" s="18"/>
      <c r="E18" s="19"/>
      <c r="F18" s="9"/>
      <c r="G18" s="9"/>
      <c r="H18" s="9"/>
      <c r="CU18" s="34"/>
    </row>
    <row r="19" hidden="1" spans="1:8">
      <c r="A19" s="10" t="s">
        <v>22</v>
      </c>
      <c r="B19" s="14" t="s">
        <v>23</v>
      </c>
      <c r="C19" s="15"/>
      <c r="D19" s="15"/>
      <c r="E19" s="16"/>
      <c r="F19" s="9"/>
      <c r="G19" s="9"/>
      <c r="H19" s="9"/>
    </row>
    <row r="20" ht="24" spans="1:8">
      <c r="A20" s="24" t="s">
        <v>24</v>
      </c>
      <c r="B20" s="24" t="s">
        <v>25</v>
      </c>
      <c r="C20" s="25" t="s">
        <v>25</v>
      </c>
      <c r="D20" s="25" t="s">
        <v>26</v>
      </c>
      <c r="E20" s="25" t="s">
        <v>27</v>
      </c>
      <c r="F20" s="25" t="s">
        <v>28</v>
      </c>
      <c r="G20" s="25" t="s">
        <v>29</v>
      </c>
      <c r="H20" s="25" t="s">
        <v>30</v>
      </c>
    </row>
    <row r="21" ht="15" customHeight="1" spans="1:8">
      <c r="A21" s="26"/>
      <c r="B21" s="27" t="s">
        <v>31</v>
      </c>
      <c r="C21" s="28" t="s">
        <v>31</v>
      </c>
      <c r="D21" s="28"/>
      <c r="E21" s="28"/>
      <c r="F21" s="28"/>
      <c r="G21" s="28"/>
      <c r="H21" s="28"/>
    </row>
    <row r="22" ht="15" customHeight="1" spans="1:8">
      <c r="A22" s="26">
        <v>301</v>
      </c>
      <c r="B22" s="29" t="s">
        <v>32</v>
      </c>
      <c r="C22" s="30" t="s">
        <v>32</v>
      </c>
      <c r="D22" s="30" t="s">
        <v>33</v>
      </c>
      <c r="E22" s="31">
        <v>7.5</v>
      </c>
      <c r="F22" s="31">
        <v>8.4</v>
      </c>
      <c r="G22" s="9" t="s">
        <v>34</v>
      </c>
      <c r="H22" s="32">
        <v>429</v>
      </c>
    </row>
    <row r="23" ht="15" customHeight="1" spans="1:8">
      <c r="A23" s="26">
        <v>302</v>
      </c>
      <c r="B23" s="29" t="s">
        <v>35</v>
      </c>
      <c r="C23" s="30" t="s">
        <v>35</v>
      </c>
      <c r="D23" s="30" t="s">
        <v>33</v>
      </c>
      <c r="E23" s="31">
        <v>0.6</v>
      </c>
      <c r="F23" s="31">
        <v>0.7</v>
      </c>
      <c r="G23" s="9" t="s">
        <v>34</v>
      </c>
      <c r="H23" s="32">
        <v>5143</v>
      </c>
    </row>
    <row r="24" ht="15" customHeight="1" spans="1:8">
      <c r="A24" s="26">
        <v>303</v>
      </c>
      <c r="B24" s="29" t="s">
        <v>36</v>
      </c>
      <c r="C24" s="30" t="s">
        <v>36</v>
      </c>
      <c r="D24" s="30" t="s">
        <v>37</v>
      </c>
      <c r="E24" s="31">
        <v>17.5</v>
      </c>
      <c r="F24" s="31">
        <v>19.6</v>
      </c>
      <c r="G24" s="9" t="s">
        <v>38</v>
      </c>
      <c r="H24" s="32">
        <v>184</v>
      </c>
    </row>
    <row r="25" ht="15" customHeight="1" spans="1:8">
      <c r="A25" s="26">
        <v>304</v>
      </c>
      <c r="B25" s="29" t="s">
        <v>39</v>
      </c>
      <c r="C25" s="30" t="s">
        <v>39</v>
      </c>
      <c r="D25" s="30" t="s">
        <v>37</v>
      </c>
      <c r="E25" s="31">
        <v>0.6</v>
      </c>
      <c r="F25" s="31">
        <v>0.7</v>
      </c>
      <c r="G25" s="9" t="s">
        <v>38</v>
      </c>
      <c r="H25" s="32">
        <v>5143</v>
      </c>
    </row>
    <row r="26" ht="15" customHeight="1" spans="1:8">
      <c r="A26" s="26">
        <v>305</v>
      </c>
      <c r="B26" s="29" t="s">
        <v>40</v>
      </c>
      <c r="C26" s="30" t="s">
        <v>40</v>
      </c>
      <c r="D26" s="30" t="s">
        <v>37</v>
      </c>
      <c r="E26" s="31">
        <v>0.7</v>
      </c>
      <c r="F26" s="31">
        <v>0.8</v>
      </c>
      <c r="G26" s="9" t="s">
        <v>38</v>
      </c>
      <c r="H26" s="32">
        <v>4500</v>
      </c>
    </row>
    <row r="27" ht="15" customHeight="1" spans="1:8">
      <c r="A27" s="26">
        <v>306</v>
      </c>
      <c r="B27" s="29" t="s">
        <v>41</v>
      </c>
      <c r="C27" s="30" t="s">
        <v>41</v>
      </c>
      <c r="D27" s="30" t="s">
        <v>42</v>
      </c>
      <c r="E27" s="31">
        <v>0.6</v>
      </c>
      <c r="F27" s="31">
        <v>0.6</v>
      </c>
      <c r="G27" s="9" t="s">
        <v>43</v>
      </c>
      <c r="H27" s="32">
        <v>6000</v>
      </c>
    </row>
    <row r="28" ht="15" customHeight="1" spans="1:8">
      <c r="A28" s="26">
        <v>307</v>
      </c>
      <c r="B28" s="29" t="s">
        <v>44</v>
      </c>
      <c r="C28" s="30" t="s">
        <v>44</v>
      </c>
      <c r="D28" s="30" t="s">
        <v>42</v>
      </c>
      <c r="E28" s="31">
        <v>12.5</v>
      </c>
      <c r="F28" s="31">
        <v>13.8</v>
      </c>
      <c r="G28" s="9" t="s">
        <v>43</v>
      </c>
      <c r="H28" s="32">
        <v>261</v>
      </c>
    </row>
    <row r="29" ht="15" customHeight="1" spans="1:8">
      <c r="A29" s="26">
        <v>308</v>
      </c>
      <c r="B29" s="29" t="s">
        <v>45</v>
      </c>
      <c r="C29" s="30" t="s">
        <v>45</v>
      </c>
      <c r="D29" s="30" t="s">
        <v>46</v>
      </c>
      <c r="E29" s="31">
        <v>6.3</v>
      </c>
      <c r="F29" s="31">
        <v>6.3</v>
      </c>
      <c r="G29" s="9" t="s">
        <v>43</v>
      </c>
      <c r="H29" s="32">
        <v>571</v>
      </c>
    </row>
    <row r="30" ht="15" customHeight="1" spans="1:8">
      <c r="A30" s="26">
        <v>5</v>
      </c>
      <c r="B30" s="29" t="s">
        <v>47</v>
      </c>
      <c r="C30" s="30" t="s">
        <v>48</v>
      </c>
      <c r="D30" s="30" t="s">
        <v>49</v>
      </c>
      <c r="E30" s="31">
        <v>11</v>
      </c>
      <c r="F30" s="31">
        <v>12.2</v>
      </c>
      <c r="G30" s="9" t="s">
        <v>34</v>
      </c>
      <c r="H30" s="32">
        <v>295</v>
      </c>
    </row>
    <row r="31" ht="15" customHeight="1" spans="1:8">
      <c r="A31" s="26">
        <v>3</v>
      </c>
      <c r="B31" s="29" t="s">
        <v>50</v>
      </c>
      <c r="C31" s="30" t="s">
        <v>51</v>
      </c>
      <c r="D31" s="30" t="s">
        <v>49</v>
      </c>
      <c r="E31" s="31">
        <v>0.8</v>
      </c>
      <c r="F31" s="31">
        <v>0.9</v>
      </c>
      <c r="G31" s="9" t="s">
        <v>34</v>
      </c>
      <c r="H31" s="32">
        <v>4000</v>
      </c>
    </row>
    <row r="32" ht="15" customHeight="1" spans="1:8">
      <c r="A32" s="26">
        <v>1</v>
      </c>
      <c r="B32" s="29" t="s">
        <v>52</v>
      </c>
      <c r="C32" s="30" t="s">
        <v>53</v>
      </c>
      <c r="D32" s="30" t="s">
        <v>49</v>
      </c>
      <c r="E32" s="31">
        <v>0.3</v>
      </c>
      <c r="F32" s="31">
        <v>0.3</v>
      </c>
      <c r="G32" s="9" t="s">
        <v>34</v>
      </c>
      <c r="H32" s="32">
        <v>12000</v>
      </c>
    </row>
    <row r="33" ht="15" customHeight="1" spans="1:8">
      <c r="A33" s="26">
        <v>170</v>
      </c>
      <c r="B33" s="29" t="s">
        <v>54</v>
      </c>
      <c r="C33" s="30" t="s">
        <v>54</v>
      </c>
      <c r="D33" s="30" t="s">
        <v>49</v>
      </c>
      <c r="E33" s="31"/>
      <c r="F33" s="31">
        <v>78.1</v>
      </c>
      <c r="G33" s="9" t="s">
        <v>38</v>
      </c>
      <c r="H33" s="32">
        <v>46</v>
      </c>
    </row>
    <row r="34" ht="15" customHeight="1" spans="1:8">
      <c r="A34" s="26"/>
      <c r="B34" s="29" t="s">
        <v>55</v>
      </c>
      <c r="C34" s="30" t="s">
        <v>55</v>
      </c>
      <c r="D34" s="30" t="s">
        <v>56</v>
      </c>
      <c r="E34" s="31">
        <v>1.4</v>
      </c>
      <c r="F34" s="31">
        <v>1.6</v>
      </c>
      <c r="G34" s="9" t="s">
        <v>38</v>
      </c>
      <c r="H34" s="32">
        <v>2250</v>
      </c>
    </row>
    <row r="35" ht="15" customHeight="1" spans="1:8">
      <c r="A35" s="26">
        <v>17</v>
      </c>
      <c r="B35" s="29" t="s">
        <v>57</v>
      </c>
      <c r="C35" s="30" t="s">
        <v>57</v>
      </c>
      <c r="D35" s="30" t="s">
        <v>58</v>
      </c>
      <c r="E35" s="31">
        <v>16.7</v>
      </c>
      <c r="F35" s="31">
        <v>18.8</v>
      </c>
      <c r="G35" s="9" t="s">
        <v>34</v>
      </c>
      <c r="H35" s="32">
        <v>191</v>
      </c>
    </row>
    <row r="36" ht="15" customHeight="1" spans="1:8">
      <c r="A36" s="26">
        <v>18</v>
      </c>
      <c r="B36" s="29" t="s">
        <v>59</v>
      </c>
      <c r="C36" s="30" t="s">
        <v>59</v>
      </c>
      <c r="D36" s="30" t="s">
        <v>58</v>
      </c>
      <c r="E36" s="31">
        <v>14</v>
      </c>
      <c r="F36" s="31">
        <v>15.8</v>
      </c>
      <c r="G36" s="9" t="s">
        <v>34</v>
      </c>
      <c r="H36" s="32">
        <v>228</v>
      </c>
    </row>
    <row r="37" ht="15" customHeight="1" spans="1:8">
      <c r="A37" s="26"/>
      <c r="B37" s="27" t="s">
        <v>60</v>
      </c>
      <c r="C37" s="28" t="s">
        <v>60</v>
      </c>
      <c r="D37" s="28"/>
      <c r="E37" s="28"/>
      <c r="F37" s="28"/>
      <c r="G37" s="28"/>
      <c r="H37" s="28"/>
    </row>
    <row r="38" ht="15" customHeight="1" spans="1:8">
      <c r="A38" s="26"/>
      <c r="B38" s="29" t="s">
        <v>61</v>
      </c>
      <c r="C38" s="30" t="s">
        <v>61</v>
      </c>
      <c r="D38" s="30" t="s">
        <v>62</v>
      </c>
      <c r="E38" s="31">
        <v>6.7</v>
      </c>
      <c r="F38" s="31">
        <v>6.7</v>
      </c>
      <c r="G38" s="9" t="s">
        <v>63</v>
      </c>
      <c r="H38" s="32">
        <v>537</v>
      </c>
    </row>
    <row r="39" ht="15" customHeight="1" spans="1:8">
      <c r="A39" s="26"/>
      <c r="B39" s="29" t="s">
        <v>64</v>
      </c>
      <c r="C39" s="30" t="s">
        <v>64</v>
      </c>
      <c r="D39" s="30" t="s">
        <v>62</v>
      </c>
      <c r="E39" s="31">
        <v>1.3</v>
      </c>
      <c r="F39" s="31">
        <v>1.3</v>
      </c>
      <c r="G39" s="9" t="s">
        <v>63</v>
      </c>
      <c r="H39" s="32">
        <v>2769</v>
      </c>
    </row>
    <row r="40" ht="15" customHeight="1" spans="1:8">
      <c r="A40" s="26"/>
      <c r="B40" s="29" t="s">
        <v>65</v>
      </c>
      <c r="C40" s="30" t="s">
        <v>65</v>
      </c>
      <c r="D40" s="30" t="s">
        <v>62</v>
      </c>
      <c r="E40" s="31">
        <v>1.3</v>
      </c>
      <c r="F40" s="31">
        <v>1.3</v>
      </c>
      <c r="G40" s="9" t="s">
        <v>63</v>
      </c>
      <c r="H40" s="32">
        <v>2769</v>
      </c>
    </row>
    <row r="41" ht="15" customHeight="1" spans="1:8">
      <c r="A41" s="26"/>
      <c r="B41" s="29" t="s">
        <v>66</v>
      </c>
      <c r="C41" s="30" t="s">
        <v>66</v>
      </c>
      <c r="D41" s="30" t="s">
        <v>62</v>
      </c>
      <c r="E41" s="31">
        <v>1.3</v>
      </c>
      <c r="F41" s="31">
        <v>1.3</v>
      </c>
      <c r="G41" s="9" t="s">
        <v>63</v>
      </c>
      <c r="H41" s="32">
        <v>2769</v>
      </c>
    </row>
    <row r="42" ht="15" customHeight="1" spans="1:8">
      <c r="A42" s="26">
        <v>21</v>
      </c>
      <c r="B42" s="29" t="s">
        <v>67</v>
      </c>
      <c r="C42" s="30" t="s">
        <v>67</v>
      </c>
      <c r="D42" s="30" t="s">
        <v>49</v>
      </c>
      <c r="E42" s="31">
        <v>4</v>
      </c>
      <c r="F42" s="31">
        <v>4.4</v>
      </c>
      <c r="G42" s="9" t="s">
        <v>63</v>
      </c>
      <c r="H42" s="32">
        <v>818</v>
      </c>
    </row>
    <row r="43" ht="15" customHeight="1" spans="1:8">
      <c r="A43" s="26">
        <v>22</v>
      </c>
      <c r="B43" s="29" t="s">
        <v>68</v>
      </c>
      <c r="C43" s="30" t="s">
        <v>68</v>
      </c>
      <c r="D43" s="30" t="s">
        <v>69</v>
      </c>
      <c r="E43" s="31">
        <v>2.5</v>
      </c>
      <c r="F43" s="31">
        <v>2.7</v>
      </c>
      <c r="G43" s="9" t="s">
        <v>70</v>
      </c>
      <c r="H43" s="32">
        <v>1333</v>
      </c>
    </row>
    <row r="44" ht="15" customHeight="1" spans="1:8">
      <c r="A44" s="26">
        <v>23</v>
      </c>
      <c r="B44" s="29" t="s">
        <v>71</v>
      </c>
      <c r="C44" s="30" t="s">
        <v>71</v>
      </c>
      <c r="D44" s="30" t="s">
        <v>49</v>
      </c>
      <c r="E44" s="31">
        <v>1.1</v>
      </c>
      <c r="F44" s="31">
        <v>1.2</v>
      </c>
      <c r="G44" s="9" t="s">
        <v>63</v>
      </c>
      <c r="H44" s="32">
        <v>3000</v>
      </c>
    </row>
    <row r="45" ht="15" customHeight="1" spans="1:8">
      <c r="A45" s="26">
        <v>24</v>
      </c>
      <c r="B45" s="29" t="s">
        <v>72</v>
      </c>
      <c r="C45" s="30" t="s">
        <v>72</v>
      </c>
      <c r="D45" s="30" t="s">
        <v>73</v>
      </c>
      <c r="E45" s="31">
        <v>14.8</v>
      </c>
      <c r="F45" s="31">
        <v>16.5</v>
      </c>
      <c r="G45" s="9" t="s">
        <v>74</v>
      </c>
      <c r="H45" s="32">
        <v>218</v>
      </c>
    </row>
    <row r="46" ht="15" customHeight="1" spans="1:8">
      <c r="A46" s="26">
        <v>25</v>
      </c>
      <c r="B46" s="29" t="s">
        <v>75</v>
      </c>
      <c r="C46" s="30" t="s">
        <v>75</v>
      </c>
      <c r="D46" s="30" t="s">
        <v>49</v>
      </c>
      <c r="E46" s="31">
        <v>6.9</v>
      </c>
      <c r="F46" s="31">
        <v>7.6</v>
      </c>
      <c r="G46" s="9" t="s">
        <v>63</v>
      </c>
      <c r="H46" s="32">
        <v>474</v>
      </c>
    </row>
    <row r="47" ht="15" customHeight="1" spans="1:8">
      <c r="A47" s="26">
        <v>26</v>
      </c>
      <c r="B47" s="29" t="s">
        <v>76</v>
      </c>
      <c r="C47" s="30" t="s">
        <v>76</v>
      </c>
      <c r="D47" s="30" t="s">
        <v>73</v>
      </c>
      <c r="E47" s="31">
        <v>31.2</v>
      </c>
      <c r="F47" s="31">
        <v>34.6</v>
      </c>
      <c r="G47" s="9" t="s">
        <v>70</v>
      </c>
      <c r="H47" s="32">
        <v>104</v>
      </c>
    </row>
    <row r="48" ht="15" customHeight="1" spans="1:8">
      <c r="A48" s="26">
        <v>28</v>
      </c>
      <c r="B48" s="29" t="s">
        <v>77</v>
      </c>
      <c r="C48" s="30" t="s">
        <v>77</v>
      </c>
      <c r="D48" s="30" t="s">
        <v>78</v>
      </c>
      <c r="E48" s="31">
        <v>34.4</v>
      </c>
      <c r="F48" s="31">
        <v>38</v>
      </c>
      <c r="G48" s="9" t="s">
        <v>38</v>
      </c>
      <c r="H48" s="32">
        <v>95</v>
      </c>
    </row>
    <row r="49" ht="15" customHeight="1" spans="1:8">
      <c r="A49" s="26">
        <v>29</v>
      </c>
      <c r="B49" s="29" t="s">
        <v>79</v>
      </c>
      <c r="C49" s="30" t="s">
        <v>79</v>
      </c>
      <c r="D49" s="30" t="s">
        <v>49</v>
      </c>
      <c r="E49" s="31">
        <v>3.6</v>
      </c>
      <c r="F49" s="31">
        <v>4</v>
      </c>
      <c r="G49" s="9" t="s">
        <v>63</v>
      </c>
      <c r="H49" s="32">
        <v>900</v>
      </c>
    </row>
    <row r="50" ht="15" customHeight="1" spans="1:8">
      <c r="A50" s="26">
        <v>30</v>
      </c>
      <c r="B50" s="29" t="s">
        <v>80</v>
      </c>
      <c r="C50" s="30" t="s">
        <v>80</v>
      </c>
      <c r="D50" s="30" t="s">
        <v>73</v>
      </c>
      <c r="E50" s="31">
        <v>10.8</v>
      </c>
      <c r="F50" s="31">
        <v>12</v>
      </c>
      <c r="G50" s="9" t="s">
        <v>70</v>
      </c>
      <c r="H50" s="32">
        <v>300</v>
      </c>
    </row>
    <row r="51" ht="15" customHeight="1" spans="1:8">
      <c r="A51" s="26">
        <v>31</v>
      </c>
      <c r="B51" s="29" t="s">
        <v>81</v>
      </c>
      <c r="C51" s="30" t="s">
        <v>81</v>
      </c>
      <c r="D51" s="30" t="s">
        <v>49</v>
      </c>
      <c r="E51" s="31">
        <v>5.2</v>
      </c>
      <c r="F51" s="31">
        <v>5.7</v>
      </c>
      <c r="G51" s="9" t="s">
        <v>63</v>
      </c>
      <c r="H51" s="32">
        <v>632</v>
      </c>
    </row>
    <row r="52" ht="15" customHeight="1" spans="1:8">
      <c r="A52" s="26">
        <v>32</v>
      </c>
      <c r="B52" s="29" t="s">
        <v>82</v>
      </c>
      <c r="C52" s="30" t="s">
        <v>83</v>
      </c>
      <c r="D52" s="30" t="s">
        <v>84</v>
      </c>
      <c r="E52" s="31">
        <v>17.7</v>
      </c>
      <c r="F52" s="31">
        <v>19.6</v>
      </c>
      <c r="G52" s="9" t="s">
        <v>85</v>
      </c>
      <c r="H52" s="32">
        <v>184</v>
      </c>
    </row>
    <row r="53" ht="15" customHeight="1" spans="1:8">
      <c r="A53" s="26">
        <v>33</v>
      </c>
      <c r="B53" s="29" t="s">
        <v>86</v>
      </c>
      <c r="C53" s="30" t="s">
        <v>86</v>
      </c>
      <c r="D53" s="30" t="s">
        <v>58</v>
      </c>
      <c r="E53" s="31">
        <v>20.6</v>
      </c>
      <c r="F53" s="31">
        <v>23.1</v>
      </c>
      <c r="G53" s="9" t="s">
        <v>70</v>
      </c>
      <c r="H53" s="32">
        <v>156</v>
      </c>
    </row>
    <row r="54" ht="15" customHeight="1" spans="1:8">
      <c r="A54" s="26">
        <v>34</v>
      </c>
      <c r="B54" s="29" t="s">
        <v>87</v>
      </c>
      <c r="C54" s="30" t="s">
        <v>88</v>
      </c>
      <c r="D54" s="30" t="s">
        <v>89</v>
      </c>
      <c r="E54" s="31">
        <v>15.9</v>
      </c>
      <c r="F54" s="31">
        <v>17.9</v>
      </c>
      <c r="G54" s="9" t="s">
        <v>70</v>
      </c>
      <c r="H54" s="32">
        <v>201</v>
      </c>
    </row>
    <row r="55" ht="15" customHeight="1" spans="1:8">
      <c r="A55" s="26"/>
      <c r="B55" s="27" t="s">
        <v>90</v>
      </c>
      <c r="C55" s="28" t="s">
        <v>90</v>
      </c>
      <c r="D55" s="28"/>
      <c r="E55" s="28"/>
      <c r="F55" s="28"/>
      <c r="G55" s="28"/>
      <c r="H55" s="28"/>
    </row>
    <row r="56" ht="24" customHeight="1" spans="1:8">
      <c r="A56" s="26">
        <v>36</v>
      </c>
      <c r="B56" s="29" t="s">
        <v>91</v>
      </c>
      <c r="C56" s="30" t="s">
        <v>92</v>
      </c>
      <c r="D56" s="30" t="s">
        <v>84</v>
      </c>
      <c r="E56" s="31">
        <v>18.5</v>
      </c>
      <c r="F56" s="31">
        <v>20.4</v>
      </c>
      <c r="G56" s="9" t="s">
        <v>43</v>
      </c>
      <c r="H56" s="32">
        <v>176</v>
      </c>
    </row>
    <row r="57" ht="17" customHeight="1" spans="1:8">
      <c r="A57" s="26">
        <v>88</v>
      </c>
      <c r="B57" s="29" t="s">
        <v>93</v>
      </c>
      <c r="C57" s="30" t="s">
        <v>93</v>
      </c>
      <c r="D57" s="30" t="s">
        <v>94</v>
      </c>
      <c r="E57" s="31">
        <v>8.9</v>
      </c>
      <c r="F57" s="31">
        <v>9.9</v>
      </c>
      <c r="G57" s="9" t="s">
        <v>70</v>
      </c>
      <c r="H57" s="32">
        <v>364</v>
      </c>
    </row>
    <row r="58" ht="15" customHeight="1" spans="1:8">
      <c r="A58" s="26">
        <v>37</v>
      </c>
      <c r="B58" s="29" t="s">
        <v>95</v>
      </c>
      <c r="C58" s="30" t="s">
        <v>95</v>
      </c>
      <c r="D58" s="30" t="s">
        <v>73</v>
      </c>
      <c r="E58" s="31">
        <v>20.4</v>
      </c>
      <c r="F58" s="31">
        <v>23.1</v>
      </c>
      <c r="G58" s="9" t="s">
        <v>85</v>
      </c>
      <c r="H58" s="32">
        <v>156</v>
      </c>
    </row>
    <row r="59" ht="15" customHeight="1" spans="1:8">
      <c r="A59" s="26"/>
      <c r="B59" s="27" t="s">
        <v>96</v>
      </c>
      <c r="C59" s="28" t="s">
        <v>96</v>
      </c>
      <c r="D59" s="28"/>
      <c r="E59" s="28"/>
      <c r="F59" s="28"/>
      <c r="G59" s="28"/>
      <c r="H59" s="28"/>
    </row>
    <row r="60" ht="15" customHeight="1" spans="1:8">
      <c r="A60" s="26">
        <v>38</v>
      </c>
      <c r="B60" s="29" t="s">
        <v>97</v>
      </c>
      <c r="C60" s="30" t="s">
        <v>97</v>
      </c>
      <c r="D60" s="30" t="s">
        <v>73</v>
      </c>
      <c r="E60" s="31">
        <v>30.7</v>
      </c>
      <c r="F60" s="31">
        <v>34.1</v>
      </c>
      <c r="G60" s="9" t="s">
        <v>85</v>
      </c>
      <c r="H60" s="32">
        <v>106</v>
      </c>
    </row>
    <row r="61" ht="15" customHeight="1" spans="1:8">
      <c r="A61" s="26">
        <v>39</v>
      </c>
      <c r="B61" s="29" t="s">
        <v>98</v>
      </c>
      <c r="C61" s="30" t="s">
        <v>98</v>
      </c>
      <c r="D61" s="30" t="s">
        <v>73</v>
      </c>
      <c r="E61" s="31">
        <v>8.2</v>
      </c>
      <c r="F61" s="31">
        <v>9.2</v>
      </c>
      <c r="G61" s="9" t="s">
        <v>70</v>
      </c>
      <c r="H61" s="32">
        <v>391</v>
      </c>
    </row>
    <row r="62" ht="15" customHeight="1" spans="1:8">
      <c r="A62" s="26"/>
      <c r="B62" s="27" t="s">
        <v>99</v>
      </c>
      <c r="C62" s="28" t="s">
        <v>99</v>
      </c>
      <c r="D62" s="28"/>
      <c r="E62" s="28"/>
      <c r="F62" s="28"/>
      <c r="G62" s="28"/>
      <c r="H62" s="28"/>
    </row>
    <row r="63" s="1" customFormat="1" ht="15" customHeight="1" spans="1:8">
      <c r="A63" s="26">
        <v>90</v>
      </c>
      <c r="B63" s="33" t="s">
        <v>100</v>
      </c>
      <c r="C63" s="9" t="s">
        <v>100</v>
      </c>
      <c r="D63" s="9" t="s">
        <v>49</v>
      </c>
      <c r="E63" s="9">
        <v>10.1</v>
      </c>
      <c r="F63" s="9">
        <v>11.2</v>
      </c>
      <c r="G63" s="9" t="s">
        <v>63</v>
      </c>
      <c r="H63" s="9">
        <v>321</v>
      </c>
    </row>
    <row r="64" ht="15" customHeight="1" spans="1:8">
      <c r="A64" s="26">
        <v>41</v>
      </c>
      <c r="B64" s="29" t="s">
        <v>101</v>
      </c>
      <c r="C64" s="30" t="s">
        <v>101</v>
      </c>
      <c r="D64" s="30" t="s">
        <v>49</v>
      </c>
      <c r="E64" s="31">
        <v>8.2</v>
      </c>
      <c r="F64" s="31">
        <v>9</v>
      </c>
      <c r="G64" s="9" t="s">
        <v>63</v>
      </c>
      <c r="H64" s="32">
        <v>400</v>
      </c>
    </row>
    <row r="65" ht="15" customHeight="1" spans="1:8">
      <c r="A65" s="26">
        <v>42</v>
      </c>
      <c r="B65" s="29" t="s">
        <v>102</v>
      </c>
      <c r="C65" s="30" t="s">
        <v>102</v>
      </c>
      <c r="D65" s="30" t="s">
        <v>58</v>
      </c>
      <c r="E65" s="31">
        <v>11.7</v>
      </c>
      <c r="F65" s="31">
        <v>13.2</v>
      </c>
      <c r="G65" s="9" t="s">
        <v>103</v>
      </c>
      <c r="H65" s="32">
        <v>273</v>
      </c>
    </row>
    <row r="66" ht="15" customHeight="1" spans="1:8">
      <c r="A66" s="26">
        <v>43</v>
      </c>
      <c r="B66" s="29" t="s">
        <v>104</v>
      </c>
      <c r="C66" s="30" t="s">
        <v>105</v>
      </c>
      <c r="D66" s="30" t="s">
        <v>49</v>
      </c>
      <c r="E66" s="31">
        <v>9.7</v>
      </c>
      <c r="F66" s="31">
        <v>10.7</v>
      </c>
      <c r="G66" s="9" t="s">
        <v>63</v>
      </c>
      <c r="H66" s="32">
        <v>336</v>
      </c>
    </row>
    <row r="67" ht="15" customHeight="1" spans="1:8">
      <c r="A67" s="26">
        <v>44</v>
      </c>
      <c r="B67" s="29" t="s">
        <v>106</v>
      </c>
      <c r="C67" s="30" t="s">
        <v>106</v>
      </c>
      <c r="D67" s="30" t="s">
        <v>73</v>
      </c>
      <c r="E67" s="31">
        <v>13.8</v>
      </c>
      <c r="F67" s="31">
        <v>15.4</v>
      </c>
      <c r="G67" s="9" t="s">
        <v>107</v>
      </c>
      <c r="H67" s="32">
        <v>234</v>
      </c>
    </row>
    <row r="68" ht="15" customHeight="1" spans="1:8">
      <c r="A68" s="26">
        <v>45</v>
      </c>
      <c r="B68" s="29" t="s">
        <v>108</v>
      </c>
      <c r="C68" s="30" t="s">
        <v>109</v>
      </c>
      <c r="D68" s="30" t="s">
        <v>49</v>
      </c>
      <c r="E68" s="31">
        <v>14.6</v>
      </c>
      <c r="F68" s="31">
        <v>16.2</v>
      </c>
      <c r="G68" s="9" t="s">
        <v>110</v>
      </c>
      <c r="H68" s="32">
        <v>222</v>
      </c>
    </row>
    <row r="69" ht="15" customHeight="1" spans="1:8">
      <c r="A69" s="26">
        <v>46</v>
      </c>
      <c r="B69" s="29" t="s">
        <v>111</v>
      </c>
      <c r="C69" s="30" t="s">
        <v>111</v>
      </c>
      <c r="D69" s="30" t="s">
        <v>73</v>
      </c>
      <c r="E69" s="31">
        <v>14.6</v>
      </c>
      <c r="F69" s="31">
        <v>16.3</v>
      </c>
      <c r="G69" s="9" t="s">
        <v>112</v>
      </c>
      <c r="H69" s="32">
        <v>221</v>
      </c>
    </row>
    <row r="70" ht="15" customHeight="1" spans="1:8">
      <c r="A70" s="26">
        <v>47</v>
      </c>
      <c r="B70" s="29" t="s">
        <v>113</v>
      </c>
      <c r="C70" s="30" t="s">
        <v>113</v>
      </c>
      <c r="D70" s="30" t="s">
        <v>73</v>
      </c>
      <c r="E70" s="31">
        <v>25.1</v>
      </c>
      <c r="F70" s="31">
        <v>28.2</v>
      </c>
      <c r="G70" s="9" t="s">
        <v>107</v>
      </c>
      <c r="H70" s="32">
        <v>128</v>
      </c>
    </row>
    <row r="71" ht="15" customHeight="1" spans="1:8">
      <c r="A71" s="26">
        <v>48</v>
      </c>
      <c r="B71" s="29" t="s">
        <v>114</v>
      </c>
      <c r="C71" s="30" t="s">
        <v>114</v>
      </c>
      <c r="D71" s="30" t="s">
        <v>73</v>
      </c>
      <c r="E71" s="31">
        <v>28.7</v>
      </c>
      <c r="F71" s="31">
        <v>32.4</v>
      </c>
      <c r="G71" s="9" t="s">
        <v>107</v>
      </c>
      <c r="H71" s="32">
        <v>111</v>
      </c>
    </row>
    <row r="72" ht="15" customHeight="1" spans="1:8">
      <c r="A72" s="26">
        <v>49</v>
      </c>
      <c r="B72" s="29" t="s">
        <v>115</v>
      </c>
      <c r="C72" s="30" t="s">
        <v>115</v>
      </c>
      <c r="D72" s="30" t="s">
        <v>78</v>
      </c>
      <c r="E72" s="31">
        <v>14.3</v>
      </c>
      <c r="F72" s="31">
        <v>15.8</v>
      </c>
      <c r="G72" s="9" t="s">
        <v>74</v>
      </c>
      <c r="H72" s="32">
        <v>228</v>
      </c>
    </row>
    <row r="73" ht="15" customHeight="1" spans="1:8">
      <c r="A73" s="26">
        <v>50</v>
      </c>
      <c r="B73" s="29" t="s">
        <v>116</v>
      </c>
      <c r="C73" s="30" t="s">
        <v>117</v>
      </c>
      <c r="D73" s="30" t="s">
        <v>73</v>
      </c>
      <c r="E73" s="31">
        <v>34.8</v>
      </c>
      <c r="F73" s="31">
        <v>39.4</v>
      </c>
      <c r="G73" s="9" t="s">
        <v>107</v>
      </c>
      <c r="H73" s="32">
        <v>91</v>
      </c>
    </row>
    <row r="74" ht="15" customHeight="1" spans="1:8">
      <c r="A74" s="26">
        <v>51</v>
      </c>
      <c r="B74" s="29" t="s">
        <v>118</v>
      </c>
      <c r="C74" s="30" t="s">
        <v>119</v>
      </c>
      <c r="D74" s="30" t="s">
        <v>73</v>
      </c>
      <c r="E74" s="31">
        <v>46.3</v>
      </c>
      <c r="F74" s="31">
        <v>51.5</v>
      </c>
      <c r="G74" s="9" t="s">
        <v>85</v>
      </c>
      <c r="H74" s="32">
        <v>70</v>
      </c>
    </row>
    <row r="75" ht="15" customHeight="1" spans="1:8">
      <c r="A75" s="26">
        <v>52</v>
      </c>
      <c r="B75" s="29" t="s">
        <v>120</v>
      </c>
      <c r="C75" s="30" t="s">
        <v>120</v>
      </c>
      <c r="D75" s="30" t="s">
        <v>49</v>
      </c>
      <c r="E75" s="31">
        <v>30.8</v>
      </c>
      <c r="F75" s="31">
        <v>34</v>
      </c>
      <c r="G75" s="9" t="s">
        <v>110</v>
      </c>
      <c r="H75" s="32">
        <v>106</v>
      </c>
    </row>
    <row r="76" ht="15" customHeight="1" spans="1:8">
      <c r="A76" s="26">
        <v>53</v>
      </c>
      <c r="B76" s="29" t="s">
        <v>121</v>
      </c>
      <c r="C76" s="30" t="s">
        <v>121</v>
      </c>
      <c r="D76" s="30" t="s">
        <v>73</v>
      </c>
      <c r="E76" s="31">
        <v>26.1</v>
      </c>
      <c r="F76" s="31">
        <v>29</v>
      </c>
      <c r="G76" s="9" t="s">
        <v>112</v>
      </c>
      <c r="H76" s="32">
        <v>124</v>
      </c>
    </row>
    <row r="77" ht="15" customHeight="1" spans="1:8">
      <c r="A77" s="26">
        <v>55</v>
      </c>
      <c r="B77" s="29" t="s">
        <v>122</v>
      </c>
      <c r="C77" s="30" t="s">
        <v>122</v>
      </c>
      <c r="D77" s="30" t="s">
        <v>73</v>
      </c>
      <c r="E77" s="31">
        <v>33.6</v>
      </c>
      <c r="F77" s="31">
        <v>37.9</v>
      </c>
      <c r="G77" s="9" t="s">
        <v>107</v>
      </c>
      <c r="H77" s="32">
        <v>95</v>
      </c>
    </row>
    <row r="78" ht="15" customHeight="1" spans="1:8">
      <c r="A78" s="26">
        <v>56</v>
      </c>
      <c r="B78" s="29" t="s">
        <v>123</v>
      </c>
      <c r="C78" s="30" t="s">
        <v>123</v>
      </c>
      <c r="D78" s="30" t="s">
        <v>124</v>
      </c>
      <c r="E78" s="31">
        <v>49.7</v>
      </c>
      <c r="F78" s="31">
        <v>56.5</v>
      </c>
      <c r="G78" s="9" t="s">
        <v>85</v>
      </c>
      <c r="H78" s="32">
        <v>64</v>
      </c>
    </row>
    <row r="79" ht="15" customHeight="1" spans="1:8">
      <c r="A79" s="26">
        <v>57</v>
      </c>
      <c r="B79" s="29" t="s">
        <v>125</v>
      </c>
      <c r="C79" s="30" t="s">
        <v>125</v>
      </c>
      <c r="D79" s="30" t="s">
        <v>49</v>
      </c>
      <c r="E79" s="31">
        <v>11.3</v>
      </c>
      <c r="F79" s="31">
        <v>12.5</v>
      </c>
      <c r="G79" s="9" t="s">
        <v>126</v>
      </c>
      <c r="H79" s="32">
        <v>288</v>
      </c>
    </row>
    <row r="80" ht="15" customHeight="1" spans="1:8">
      <c r="A80" s="26">
        <v>58</v>
      </c>
      <c r="B80" s="29" t="s">
        <v>127</v>
      </c>
      <c r="C80" s="30" t="s">
        <v>127</v>
      </c>
      <c r="D80" s="30" t="s">
        <v>73</v>
      </c>
      <c r="E80" s="31">
        <v>36.5</v>
      </c>
      <c r="F80" s="31">
        <v>41.4</v>
      </c>
      <c r="G80" s="9" t="s">
        <v>128</v>
      </c>
      <c r="H80" s="32">
        <v>87</v>
      </c>
    </row>
    <row r="81" ht="15" customHeight="1" spans="1:8">
      <c r="A81" s="26">
        <v>59</v>
      </c>
      <c r="B81" s="29" t="s">
        <v>129</v>
      </c>
      <c r="C81" s="30" t="s">
        <v>129</v>
      </c>
      <c r="D81" s="30" t="s">
        <v>73</v>
      </c>
      <c r="E81" s="31">
        <v>26.8</v>
      </c>
      <c r="F81" s="31">
        <v>30</v>
      </c>
      <c r="G81" s="9" t="s">
        <v>85</v>
      </c>
      <c r="H81" s="32">
        <v>120</v>
      </c>
    </row>
    <row r="82" ht="15" customHeight="1" spans="1:8">
      <c r="A82" s="26">
        <v>60</v>
      </c>
      <c r="B82" s="29" t="s">
        <v>130</v>
      </c>
      <c r="C82" s="30" t="s">
        <v>130</v>
      </c>
      <c r="D82" s="30" t="s">
        <v>78</v>
      </c>
      <c r="E82" s="31">
        <v>20.6</v>
      </c>
      <c r="F82" s="31">
        <v>22.8</v>
      </c>
      <c r="G82" s="9" t="s">
        <v>74</v>
      </c>
      <c r="H82" s="32">
        <v>158</v>
      </c>
    </row>
    <row r="83" ht="15" customHeight="1" spans="1:8">
      <c r="A83" s="26">
        <v>61</v>
      </c>
      <c r="B83" s="29" t="s">
        <v>131</v>
      </c>
      <c r="C83" s="30" t="s">
        <v>132</v>
      </c>
      <c r="D83" s="30" t="s">
        <v>73</v>
      </c>
      <c r="E83" s="31">
        <v>21.8</v>
      </c>
      <c r="F83" s="31">
        <v>24.1</v>
      </c>
      <c r="G83" s="9" t="s">
        <v>103</v>
      </c>
      <c r="H83" s="32">
        <v>149</v>
      </c>
    </row>
    <row r="84" ht="15" customHeight="1" spans="1:8">
      <c r="A84" s="26"/>
      <c r="B84" s="27" t="s">
        <v>133</v>
      </c>
      <c r="C84" s="28" t="s">
        <v>133</v>
      </c>
      <c r="D84" s="28"/>
      <c r="E84" s="28"/>
      <c r="F84" s="28"/>
      <c r="G84" s="28"/>
      <c r="H84" s="28"/>
    </row>
    <row r="85" ht="15" customHeight="1" spans="1:8">
      <c r="A85" s="26">
        <v>27</v>
      </c>
      <c r="B85" s="29" t="s">
        <v>134</v>
      </c>
      <c r="C85" s="30" t="s">
        <v>135</v>
      </c>
      <c r="D85" s="30" t="s">
        <v>49</v>
      </c>
      <c r="E85" s="31">
        <v>35.3</v>
      </c>
      <c r="F85" s="31">
        <v>39</v>
      </c>
      <c r="G85" s="9" t="s">
        <v>38</v>
      </c>
      <c r="H85" s="32">
        <v>92</v>
      </c>
    </row>
    <row r="86" ht="15" customHeight="1" spans="1:8">
      <c r="A86" s="26">
        <v>62</v>
      </c>
      <c r="B86" s="29" t="s">
        <v>136</v>
      </c>
      <c r="C86" s="30" t="s">
        <v>137</v>
      </c>
      <c r="D86" s="30" t="s">
        <v>73</v>
      </c>
      <c r="E86" s="31">
        <v>6.7</v>
      </c>
      <c r="F86" s="31">
        <v>7.5</v>
      </c>
      <c r="G86" s="9" t="s">
        <v>70</v>
      </c>
      <c r="H86" s="32">
        <v>480</v>
      </c>
    </row>
    <row r="87" ht="15" customHeight="1" spans="1:8">
      <c r="A87" s="26">
        <v>63</v>
      </c>
      <c r="B87" s="29" t="s">
        <v>138</v>
      </c>
      <c r="C87" s="30" t="s">
        <v>139</v>
      </c>
      <c r="D87" s="30" t="s">
        <v>73</v>
      </c>
      <c r="E87" s="31">
        <v>40.4</v>
      </c>
      <c r="F87" s="31">
        <v>45.3</v>
      </c>
      <c r="G87" s="9" t="s">
        <v>128</v>
      </c>
      <c r="H87" s="32">
        <v>79</v>
      </c>
    </row>
    <row r="88" ht="15" customHeight="1" spans="1:8">
      <c r="A88" s="26">
        <v>64</v>
      </c>
      <c r="B88" s="29" t="s">
        <v>140</v>
      </c>
      <c r="C88" s="30" t="s">
        <v>140</v>
      </c>
      <c r="D88" s="30" t="s">
        <v>89</v>
      </c>
      <c r="E88" s="31">
        <v>20.3</v>
      </c>
      <c r="F88" s="31">
        <v>22.7</v>
      </c>
      <c r="G88" s="9" t="s">
        <v>141</v>
      </c>
      <c r="H88" s="32">
        <v>159</v>
      </c>
    </row>
    <row r="89" ht="15" customHeight="1" spans="1:8">
      <c r="A89" s="26">
        <v>65</v>
      </c>
      <c r="B89" s="29" t="s">
        <v>142</v>
      </c>
      <c r="C89" s="30" t="s">
        <v>143</v>
      </c>
      <c r="D89" s="30" t="s">
        <v>69</v>
      </c>
      <c r="E89" s="31">
        <v>20.8</v>
      </c>
      <c r="F89" s="31">
        <v>23.4</v>
      </c>
      <c r="G89" s="9" t="s">
        <v>85</v>
      </c>
      <c r="H89" s="32">
        <v>154</v>
      </c>
    </row>
    <row r="90" ht="15" customHeight="1" spans="1:8">
      <c r="A90" s="26">
        <v>66</v>
      </c>
      <c r="B90" s="29" t="s">
        <v>144</v>
      </c>
      <c r="C90" s="30" t="s">
        <v>144</v>
      </c>
      <c r="D90" s="30" t="s">
        <v>73</v>
      </c>
      <c r="E90" s="31">
        <v>32.1</v>
      </c>
      <c r="F90" s="31">
        <v>36.3</v>
      </c>
      <c r="G90" s="9" t="s">
        <v>107</v>
      </c>
      <c r="H90" s="32">
        <v>99</v>
      </c>
    </row>
    <row r="91" ht="15" customHeight="1" spans="1:8">
      <c r="A91" s="26">
        <v>67</v>
      </c>
      <c r="B91" s="29" t="s">
        <v>145</v>
      </c>
      <c r="C91" s="30" t="s">
        <v>145</v>
      </c>
      <c r="D91" s="30" t="s">
        <v>89</v>
      </c>
      <c r="E91" s="31">
        <v>59.8</v>
      </c>
      <c r="F91" s="31">
        <v>66.8</v>
      </c>
      <c r="G91" s="9" t="s">
        <v>141</v>
      </c>
      <c r="H91" s="32">
        <v>54</v>
      </c>
    </row>
    <row r="92" ht="15" customHeight="1" spans="1:8">
      <c r="A92" s="26">
        <v>68</v>
      </c>
      <c r="B92" s="29" t="s">
        <v>146</v>
      </c>
      <c r="C92" s="30" t="s">
        <v>147</v>
      </c>
      <c r="D92" s="30" t="s">
        <v>69</v>
      </c>
      <c r="E92" s="31">
        <v>39.4</v>
      </c>
      <c r="F92" s="31">
        <v>44.6</v>
      </c>
      <c r="G92" s="9" t="s">
        <v>85</v>
      </c>
      <c r="H92" s="32">
        <v>81</v>
      </c>
    </row>
    <row r="93" ht="15" customHeight="1" spans="1:8">
      <c r="A93" s="26">
        <v>69</v>
      </c>
      <c r="B93" s="29" t="s">
        <v>148</v>
      </c>
      <c r="C93" s="30" t="s">
        <v>148</v>
      </c>
      <c r="D93" s="30" t="s">
        <v>73</v>
      </c>
      <c r="E93" s="31">
        <v>63.4</v>
      </c>
      <c r="F93" s="31">
        <v>72.1</v>
      </c>
      <c r="G93" s="9" t="s">
        <v>107</v>
      </c>
      <c r="H93" s="32">
        <v>50</v>
      </c>
    </row>
    <row r="94" ht="15" customHeight="1" spans="1:8">
      <c r="A94" s="26">
        <v>70</v>
      </c>
      <c r="B94" s="29" t="s">
        <v>149</v>
      </c>
      <c r="C94" s="30" t="s">
        <v>149</v>
      </c>
      <c r="D94" s="30" t="s">
        <v>89</v>
      </c>
      <c r="E94" s="31">
        <v>40.8</v>
      </c>
      <c r="F94" s="31">
        <v>45.7</v>
      </c>
      <c r="G94" s="9" t="s">
        <v>128</v>
      </c>
      <c r="H94" s="32">
        <v>79</v>
      </c>
    </row>
    <row r="95" ht="15" customHeight="1" spans="1:8">
      <c r="A95" s="26">
        <v>71</v>
      </c>
      <c r="B95" s="29" t="s">
        <v>150</v>
      </c>
      <c r="C95" s="30" t="s">
        <v>151</v>
      </c>
      <c r="D95" s="30" t="s">
        <v>73</v>
      </c>
      <c r="E95" s="31">
        <v>9.4</v>
      </c>
      <c r="F95" s="31">
        <v>10.5</v>
      </c>
      <c r="G95" s="9" t="s">
        <v>70</v>
      </c>
      <c r="H95" s="32">
        <v>343</v>
      </c>
    </row>
    <row r="96" ht="15" customHeight="1" spans="1:8">
      <c r="A96" s="26">
        <v>72</v>
      </c>
      <c r="B96" s="29" t="s">
        <v>152</v>
      </c>
      <c r="C96" s="30" t="s">
        <v>152</v>
      </c>
      <c r="D96" s="30" t="s">
        <v>69</v>
      </c>
      <c r="E96" s="31">
        <v>35.9</v>
      </c>
      <c r="F96" s="31">
        <v>40.4</v>
      </c>
      <c r="G96" s="9" t="s">
        <v>85</v>
      </c>
      <c r="H96" s="32">
        <v>89</v>
      </c>
    </row>
    <row r="97" s="1" customFormat="1" spans="1:8">
      <c r="A97" s="26">
        <v>87</v>
      </c>
      <c r="B97" s="29" t="s">
        <v>153</v>
      </c>
      <c r="C97" s="30" t="s">
        <v>154</v>
      </c>
      <c r="D97" s="35" t="s">
        <v>89</v>
      </c>
      <c r="E97" s="36">
        <v>10.8</v>
      </c>
      <c r="F97" s="36">
        <v>12.1</v>
      </c>
      <c r="G97" s="37" t="s">
        <v>70</v>
      </c>
      <c r="H97" s="38">
        <v>298</v>
      </c>
    </row>
    <row r="98" ht="15" customHeight="1" spans="1:8">
      <c r="A98" s="26">
        <v>73</v>
      </c>
      <c r="B98" s="29" t="s">
        <v>155</v>
      </c>
      <c r="C98" s="30" t="s">
        <v>156</v>
      </c>
      <c r="D98" s="30" t="s">
        <v>69</v>
      </c>
      <c r="E98" s="31">
        <v>23.9</v>
      </c>
      <c r="F98" s="31">
        <v>27</v>
      </c>
      <c r="G98" s="9" t="s">
        <v>85</v>
      </c>
      <c r="H98" s="32">
        <v>133</v>
      </c>
    </row>
    <row r="99" ht="15" customHeight="1" spans="1:8">
      <c r="A99" s="26">
        <v>74</v>
      </c>
      <c r="B99" s="29" t="s">
        <v>157</v>
      </c>
      <c r="C99" s="30" t="s">
        <v>157</v>
      </c>
      <c r="D99" s="30" t="s">
        <v>89</v>
      </c>
      <c r="E99" s="31">
        <v>21.1</v>
      </c>
      <c r="F99" s="31">
        <v>23.7</v>
      </c>
      <c r="G99" s="9" t="s">
        <v>43</v>
      </c>
      <c r="H99" s="32">
        <v>152</v>
      </c>
    </row>
    <row r="100" ht="15" customHeight="1" spans="1:8">
      <c r="A100" s="26">
        <v>75</v>
      </c>
      <c r="B100" s="29" t="s">
        <v>158</v>
      </c>
      <c r="C100" s="30" t="s">
        <v>159</v>
      </c>
      <c r="D100" s="30" t="s">
        <v>73</v>
      </c>
      <c r="E100" s="31">
        <v>38.7</v>
      </c>
      <c r="F100" s="31">
        <v>43.5</v>
      </c>
      <c r="G100" s="9" t="s">
        <v>107</v>
      </c>
      <c r="H100" s="32">
        <v>83</v>
      </c>
    </row>
    <row r="101" ht="15" customHeight="1" spans="1:8">
      <c r="A101" s="26">
        <v>76</v>
      </c>
      <c r="B101" s="29" t="s">
        <v>160</v>
      </c>
      <c r="C101" s="39" t="s">
        <v>161</v>
      </c>
      <c r="D101" s="39" t="s">
        <v>69</v>
      </c>
      <c r="E101" s="40">
        <v>38.9</v>
      </c>
      <c r="F101" s="40">
        <v>43.6</v>
      </c>
      <c r="G101" s="41" t="s">
        <v>85</v>
      </c>
      <c r="H101" s="42">
        <v>83</v>
      </c>
    </row>
    <row r="102" ht="15" customHeight="1" spans="1:8">
      <c r="A102" s="26">
        <v>92</v>
      </c>
      <c r="B102" s="29" t="s">
        <v>162</v>
      </c>
      <c r="C102" s="43"/>
      <c r="D102" s="43"/>
      <c r="E102" s="44"/>
      <c r="F102" s="44"/>
      <c r="G102" s="45"/>
      <c r="H102" s="46"/>
    </row>
    <row r="103" ht="15" customHeight="1" spans="1:8">
      <c r="A103" s="26">
        <v>77</v>
      </c>
      <c r="B103" s="29" t="s">
        <v>163</v>
      </c>
      <c r="C103" s="43" t="s">
        <v>163</v>
      </c>
      <c r="D103" s="43" t="s">
        <v>164</v>
      </c>
      <c r="E103" s="44">
        <v>25</v>
      </c>
      <c r="F103" s="44">
        <v>27.9</v>
      </c>
      <c r="G103" s="45" t="s">
        <v>128</v>
      </c>
      <c r="H103" s="46">
        <v>129</v>
      </c>
    </row>
    <row r="104" ht="15" customHeight="1" spans="1:8">
      <c r="A104" s="26">
        <v>78</v>
      </c>
      <c r="B104" s="29" t="s">
        <v>165</v>
      </c>
      <c r="C104" s="30" t="s">
        <v>166</v>
      </c>
      <c r="D104" s="30" t="s">
        <v>73</v>
      </c>
      <c r="E104" s="31">
        <v>37</v>
      </c>
      <c r="F104" s="31">
        <v>41.5</v>
      </c>
      <c r="G104" s="9" t="s">
        <v>107</v>
      </c>
      <c r="H104" s="32">
        <v>87</v>
      </c>
    </row>
    <row r="105" ht="15" customHeight="1" spans="1:8">
      <c r="A105" s="26">
        <v>79</v>
      </c>
      <c r="B105" s="29" t="s">
        <v>167</v>
      </c>
      <c r="C105" s="30" t="s">
        <v>167</v>
      </c>
      <c r="D105" s="30" t="s">
        <v>73</v>
      </c>
      <c r="E105" s="31">
        <v>9.4</v>
      </c>
      <c r="F105" s="31">
        <v>10.5</v>
      </c>
      <c r="G105" s="9" t="s">
        <v>70</v>
      </c>
      <c r="H105" s="32">
        <v>343</v>
      </c>
    </row>
    <row r="106" ht="15" customHeight="1" spans="1:8">
      <c r="A106" s="26">
        <v>80</v>
      </c>
      <c r="B106" s="29" t="s">
        <v>168</v>
      </c>
      <c r="C106" s="30" t="s">
        <v>168</v>
      </c>
      <c r="D106" s="30" t="s">
        <v>73</v>
      </c>
      <c r="E106" s="31">
        <v>40.4</v>
      </c>
      <c r="F106" s="31">
        <v>45.7</v>
      </c>
      <c r="G106" s="9" t="s">
        <v>107</v>
      </c>
      <c r="H106" s="32">
        <v>79</v>
      </c>
    </row>
    <row r="107" ht="15" customHeight="1" spans="1:8">
      <c r="A107" s="26">
        <v>81</v>
      </c>
      <c r="B107" s="29" t="s">
        <v>169</v>
      </c>
      <c r="C107" s="30" t="s">
        <v>169</v>
      </c>
      <c r="D107" s="30" t="s">
        <v>73</v>
      </c>
      <c r="E107" s="31">
        <v>24.2</v>
      </c>
      <c r="F107" s="31">
        <v>27</v>
      </c>
      <c r="G107" s="9" t="s">
        <v>107</v>
      </c>
      <c r="H107" s="32">
        <v>133</v>
      </c>
    </row>
    <row r="108" ht="15" customHeight="1" spans="1:8">
      <c r="A108" s="26">
        <v>82</v>
      </c>
      <c r="B108" s="29" t="s">
        <v>170</v>
      </c>
      <c r="C108" s="30" t="s">
        <v>171</v>
      </c>
      <c r="D108" s="30" t="s">
        <v>49</v>
      </c>
      <c r="E108" s="31">
        <v>8.2</v>
      </c>
      <c r="F108" s="31">
        <v>9</v>
      </c>
      <c r="G108" s="9" t="s">
        <v>70</v>
      </c>
      <c r="H108" s="32">
        <v>400</v>
      </c>
    </row>
    <row r="109" ht="15" customHeight="1" spans="1:8">
      <c r="A109" s="26">
        <v>83</v>
      </c>
      <c r="B109" s="29" t="s">
        <v>172</v>
      </c>
      <c r="C109" s="30" t="s">
        <v>172</v>
      </c>
      <c r="D109" s="30" t="s">
        <v>73</v>
      </c>
      <c r="E109" s="31">
        <v>70.9</v>
      </c>
      <c r="F109" s="31">
        <v>79.6</v>
      </c>
      <c r="G109" s="9" t="s">
        <v>173</v>
      </c>
      <c r="H109" s="32">
        <v>45</v>
      </c>
    </row>
    <row r="110" ht="15" customHeight="1" spans="1:8">
      <c r="A110" s="26">
        <v>91</v>
      </c>
      <c r="B110" s="29" t="s">
        <v>174</v>
      </c>
      <c r="C110" s="30" t="s">
        <v>174</v>
      </c>
      <c r="D110" s="30" t="s">
        <v>73</v>
      </c>
      <c r="E110" s="31">
        <v>14.7</v>
      </c>
      <c r="F110" s="31">
        <v>16.2</v>
      </c>
      <c r="G110" s="9" t="s">
        <v>85</v>
      </c>
      <c r="H110" s="32">
        <v>222</v>
      </c>
    </row>
    <row r="111" ht="15" customHeight="1" spans="1:8">
      <c r="A111" s="26">
        <v>84</v>
      </c>
      <c r="B111" s="29" t="s">
        <v>175</v>
      </c>
      <c r="C111" s="30" t="s">
        <v>175</v>
      </c>
      <c r="D111" s="30" t="s">
        <v>73</v>
      </c>
      <c r="E111" s="31">
        <v>51.2</v>
      </c>
      <c r="F111" s="31">
        <v>58.1</v>
      </c>
      <c r="G111" s="9" t="s">
        <v>107</v>
      </c>
      <c r="H111" s="32">
        <v>62</v>
      </c>
    </row>
    <row r="112" ht="15" customHeight="1" spans="1:8">
      <c r="A112" s="26">
        <v>89</v>
      </c>
      <c r="B112" s="29" t="s">
        <v>176</v>
      </c>
      <c r="C112" s="30" t="s">
        <v>177</v>
      </c>
      <c r="D112" s="30" t="s">
        <v>49</v>
      </c>
      <c r="E112" s="31">
        <v>7.2</v>
      </c>
      <c r="F112" s="31">
        <v>8</v>
      </c>
      <c r="G112" s="9" t="s">
        <v>63</v>
      </c>
      <c r="H112" s="32">
        <v>450</v>
      </c>
    </row>
    <row r="113" ht="15" customHeight="1" spans="1:8">
      <c r="A113" s="26">
        <v>85</v>
      </c>
      <c r="B113" s="29" t="s">
        <v>178</v>
      </c>
      <c r="C113" s="30" t="s">
        <v>178</v>
      </c>
      <c r="D113" s="30" t="s">
        <v>164</v>
      </c>
      <c r="E113" s="31">
        <v>34.1</v>
      </c>
      <c r="F113" s="31">
        <v>38.1</v>
      </c>
      <c r="G113" s="9" t="s">
        <v>107</v>
      </c>
      <c r="H113" s="32">
        <v>94</v>
      </c>
    </row>
    <row r="114" ht="15" customHeight="1" spans="1:8">
      <c r="A114" s="26">
        <v>86</v>
      </c>
      <c r="B114" s="29" t="s">
        <v>179</v>
      </c>
      <c r="C114" s="30" t="s">
        <v>179</v>
      </c>
      <c r="D114" s="30" t="s">
        <v>73</v>
      </c>
      <c r="E114" s="31">
        <v>31.8</v>
      </c>
      <c r="F114" s="31">
        <v>36</v>
      </c>
      <c r="G114" s="9" t="s">
        <v>128</v>
      </c>
      <c r="H114" s="32">
        <v>100</v>
      </c>
    </row>
    <row r="115" ht="15" customHeight="1" spans="1:8">
      <c r="A115" s="26">
        <v>120</v>
      </c>
      <c r="B115" s="29" t="s">
        <v>180</v>
      </c>
      <c r="C115" s="30" t="s">
        <v>181</v>
      </c>
      <c r="D115" s="30" t="s">
        <v>49</v>
      </c>
      <c r="E115" s="31">
        <v>39.6</v>
      </c>
      <c r="F115" s="31">
        <v>43.7</v>
      </c>
      <c r="G115" s="9" t="s">
        <v>74</v>
      </c>
      <c r="H115" s="32">
        <v>82</v>
      </c>
    </row>
    <row r="116" ht="15" customHeight="1"/>
    <row r="117" ht="15" customHeight="1" spans="1:1">
      <c r="A117" s="2" t="s">
        <v>182</v>
      </c>
    </row>
    <row r="118" ht="15" customHeight="1"/>
  </sheetData>
  <mergeCells count="26">
    <mergeCell ref="A1:H1"/>
    <mergeCell ref="A2:H2"/>
    <mergeCell ref="A3:H3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C101:C102"/>
    <mergeCell ref="D101:D102"/>
    <mergeCell ref="E101:E102"/>
    <mergeCell ref="F101:F102"/>
    <mergeCell ref="G101:G102"/>
    <mergeCell ref="H101:H102"/>
    <mergeCell ref="F4:H19"/>
  </mergeCells>
  <conditionalFormatting sqref="B97:C97">
    <cfRule type="duplicateValues" dxfId="0" priority="1"/>
  </conditionalFormatting>
  <conditionalFormatting sqref="A1:A96 A98:A1048576">
    <cfRule type="duplicateValues" dxfId="0" priority="2"/>
  </conditionalFormatting>
  <printOptions horizontalCentered="1"/>
  <pageMargins left="0.0784722222222222" right="0.0784722222222222" top="0.397222222222222" bottom="0.397222222222222" header="0.196527777777778" footer="0.196527777777778"/>
  <pageSetup paperSize="9" scale="79" orientation="portrait" horizontalDpi="600"/>
  <headerFooter>
    <oddFooter>&amp;C&amp;P/&amp;N&amp;R&amp;D &amp;T</oddFooter>
  </headerFooter>
  <colBreaks count="1" manualBreakCount="1">
    <brk id="8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12D0392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ღ᭄秀秀໑ຼ₀₂₃</cp:lastModifiedBy>
  <dcterms:created xsi:type="dcterms:W3CDTF">2024-09-25T03:26:00Z</dcterms:created>
  <dcterms:modified xsi:type="dcterms:W3CDTF">2025-06-23T09:02:20Z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AAFB4808CF254AF2A559E569014F02C7_13</vt:lpwstr>
  </property>
  <property fmtid="{D5CDD505-2E9C-101B-9397-08002B2CF9AE}" pid="3" name="KSOProductBuildVer">
    <vt:lpwstr>2052-12.1.0.21541</vt:lpwstr>
  </property>
  <property fmtid="{D5CDD505-2E9C-101B-9397-08002B2CF9AE}" pid="4" name="KSOReadingLayout">
    <vt:bool>true</vt:bool>
  </property>
</Properties>
</file>