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1412" sheetId="1" r:id="rId1"/>
    <sheet name="异常工序" sheetId="2" r:id="rId2"/>
  </sheets>
  <definedNames>
    <definedName name="_xlnm.Print_Titles" localSheetId="0">'1412'!$1:$11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<sst xmlns="http://schemas.openxmlformats.org/spreadsheetml/2006/main" count="524" uniqueCount="213">
  <si>
    <t>重庆尚上服饰有限公司</t>
  </si>
  <si>
    <t>款式工序表</t>
  </si>
  <si>
    <t>打印日期：2025-04-09 11:00:02</t>
  </si>
  <si>
    <t>生产制单号：</t>
  </si>
  <si>
    <t>1412</t>
  </si>
  <si>
    <t>客　　户：</t>
  </si>
  <si>
    <t>国贸</t>
  </si>
  <si>
    <t>客户款号：</t>
  </si>
  <si>
    <t>款式描述：</t>
  </si>
  <si>
    <t>立领套里妮子面料棒球服，前开单唇袋，袖口、下摆、领本身布第三方加工后裁剪。</t>
  </si>
  <si>
    <t>品质标准：</t>
  </si>
  <si>
    <t>数　　量：</t>
  </si>
  <si>
    <t>车缝时间：</t>
  </si>
  <si>
    <t>车缝10H台产：</t>
  </si>
  <si>
    <t>裁床10H台产：</t>
  </si>
  <si>
    <t>尾部10H台产</t>
  </si>
  <si>
    <t>裁床单价：</t>
  </si>
  <si>
    <t>车缝单价：</t>
  </si>
  <si>
    <t>后道单价：</t>
  </si>
  <si>
    <t>总 单 价：</t>
  </si>
  <si>
    <t>平均秒值：</t>
  </si>
  <si>
    <t>分 析 员：</t>
  </si>
  <si>
    <t>QLY-钱玲燕</t>
  </si>
  <si>
    <t>工序号</t>
  </si>
  <si>
    <t>工序名称</t>
  </si>
  <si>
    <t>机器类型</t>
  </si>
  <si>
    <t>基础时间</t>
  </si>
  <si>
    <t>GST时间</t>
  </si>
  <si>
    <t>工序等级</t>
  </si>
  <si>
    <t>小时目标</t>
  </si>
  <si>
    <t>1-裁床</t>
  </si>
  <si>
    <t>松主面布*1.1573</t>
  </si>
  <si>
    <t>松布机</t>
  </si>
  <si>
    <t>E2</t>
  </si>
  <si>
    <t>拉主面布*1.1573</t>
  </si>
  <si>
    <t>拉布机</t>
  </si>
  <si>
    <t>E3</t>
  </si>
  <si>
    <t>拉布机拉里布*0.8</t>
  </si>
  <si>
    <t>裁剪里布*5</t>
  </si>
  <si>
    <t>电脑裁剪</t>
  </si>
  <si>
    <t>D4</t>
  </si>
  <si>
    <t>里布裁片清点、重新分包</t>
  </si>
  <si>
    <t>外发退料里布裁片清点、重新分包</t>
  </si>
  <si>
    <t>手工</t>
  </si>
  <si>
    <t>手工里布分包*5</t>
  </si>
  <si>
    <t>裁剪主面布*13</t>
  </si>
  <si>
    <t>主面布分包*13</t>
  </si>
  <si>
    <t>打编号*17</t>
  </si>
  <si>
    <t>拉线缩面布*0.0451</t>
  </si>
  <si>
    <t>面布验片/配补片*9</t>
  </si>
  <si>
    <t>裁剪线缩面布*4</t>
  </si>
  <si>
    <t>线缩面布分包*4</t>
  </si>
  <si>
    <t>E1</t>
  </si>
  <si>
    <t>拉衬布*0.07</t>
  </si>
  <si>
    <t>裁剪衬布*8</t>
  </si>
  <si>
    <t>电脑裁床</t>
  </si>
  <si>
    <t>衬分大包*14</t>
  </si>
  <si>
    <t>粘补机烫袋盖衬*2</t>
  </si>
  <si>
    <t>粘朴机</t>
  </si>
  <si>
    <t>粘补机烫下摆衬*2</t>
  </si>
  <si>
    <t>中烫（气烫）</t>
  </si>
  <si>
    <t>粘朴机烫挂面衬*2</t>
  </si>
  <si>
    <t>烫标机</t>
  </si>
  <si>
    <t>中烫实样比位烫前片袋口位衬*2</t>
  </si>
  <si>
    <t>下裁片</t>
  </si>
  <si>
    <t>2-里布</t>
  </si>
  <si>
    <t>平车拉后领挂耳*1</t>
  </si>
  <si>
    <t>电脑平车</t>
  </si>
  <si>
    <t>D2</t>
  </si>
  <si>
    <t>手工量剪后领挂耳*1</t>
  </si>
  <si>
    <t>平车收里布后中省及固定后省顶部*1</t>
  </si>
  <si>
    <t>平车收里布后中省及固定后省顶部*1(车台定位）</t>
  </si>
  <si>
    <t>C1</t>
  </si>
  <si>
    <t>中烫烫平里布后中省*1</t>
  </si>
  <si>
    <t>D1</t>
  </si>
  <si>
    <t>平车订商标两边于里布后中*1</t>
  </si>
  <si>
    <t>平车订商标两边于里布后中*1（车台定位）</t>
  </si>
  <si>
    <t>C4</t>
  </si>
  <si>
    <t>平车订后领挂耳*1</t>
  </si>
  <si>
    <t>平车上里布挂面*2</t>
  </si>
  <si>
    <t>平车对位合里肩缝*2</t>
  </si>
  <si>
    <t>平车对位上里布开袖*2</t>
  </si>
  <si>
    <t>平车对位上里布开袖*2（落定位条）</t>
  </si>
  <si>
    <t>平车订里布肩缝、夹底牵条*4</t>
  </si>
  <si>
    <t>落左侧洗标、追踪标</t>
  </si>
  <si>
    <t>平车合里布袖底缝连合侧缝及落左侧洗标、追踪标*2（左袖底留口 、放定位条、车台定位）</t>
  </si>
  <si>
    <t>平车合里布袖底缝连合侧缝</t>
  </si>
  <si>
    <t>中烫倒缝烫挂面、侧缝、肩缝、袖圈、袖底缝2*1</t>
  </si>
  <si>
    <t>D3</t>
  </si>
  <si>
    <t>3-领、下摆</t>
  </si>
  <si>
    <t>平车吊车尺码唛*1</t>
  </si>
  <si>
    <t>中烫烫缩领连对折烫平领*1</t>
  </si>
  <si>
    <t>平车运翻领两端暗线*1</t>
  </si>
  <si>
    <t>平车运翻领两端暗线*1（车台定位长短）修一边止口</t>
  </si>
  <si>
    <t>C3</t>
  </si>
  <si>
    <t>自动模板固定领实样线连点位3个*1</t>
  </si>
  <si>
    <t>自动模板固定领实样线连点位3个*1(一个模板三件、不含机器时间)</t>
  </si>
  <si>
    <t>全自动模板机</t>
  </si>
  <si>
    <t>中烫烫缩打揽下摆*1</t>
  </si>
  <si>
    <t>手工台面定位下摆长短修剪多余止口*1</t>
  </si>
  <si>
    <t>实样画下摆拼片四边*2</t>
  </si>
  <si>
    <t>平车拼接下摆拼缝2*1</t>
  </si>
  <si>
    <t>中烫烫开下摆骨位连对折烫平下摆*1</t>
  </si>
  <si>
    <t>自动模板走下摆固定线连点位3个*1</t>
  </si>
  <si>
    <t>自动模板走下摆固定线连点位3个*1（骨位开始）不含机器时间</t>
  </si>
  <si>
    <t>4-袖子</t>
  </si>
  <si>
    <t>中烫烫缩袖口*2</t>
  </si>
  <si>
    <t>#平车拼接袖口开骨固定连翻袖口*2</t>
  </si>
  <si>
    <t>#平车拼接袖口开骨固定连翻袖口*2（车台定位长短、修一边止口）</t>
  </si>
  <si>
    <t>平车对位上面袖袖口*2</t>
  </si>
  <si>
    <t>B1</t>
  </si>
  <si>
    <t>5-前片</t>
  </si>
  <si>
    <t>平车运前袋盖两边暗线2*2</t>
  </si>
  <si>
    <t>平车运前袋盖两边暗线2*2（车台定位）</t>
  </si>
  <si>
    <t>手工翻两角袋盖*2</t>
  </si>
  <si>
    <t>手工翻两角袋盖*2（修一边止口）</t>
  </si>
  <si>
    <t>平车压袋盖三边明线*2</t>
  </si>
  <si>
    <t>平车压袋盖三边明线*2(一片式袋盖）</t>
  </si>
  <si>
    <t>自动模板开前袋连激光开口*2</t>
  </si>
  <si>
    <t>自动模板开前袋连激光开口*2（放两边袋布、袋盖、不含机器时间）</t>
  </si>
  <si>
    <t>全自动激光模板机</t>
  </si>
  <si>
    <t>手工剪前袋两边三角*2</t>
  </si>
  <si>
    <t>手工翻前袋口连暗封袋角两端*2</t>
  </si>
  <si>
    <t>B2</t>
  </si>
  <si>
    <t>平车合袋布一周连放定位条*2</t>
  </si>
  <si>
    <t>平车转斜角固定前袋口袋盖两端2*2</t>
  </si>
  <si>
    <t>平车固定袋布底于下摆连固定定位条于前中*2</t>
  </si>
  <si>
    <t>平车固定袋布底于下摆连固定定位条于前中*2（套起做）</t>
  </si>
  <si>
    <t>6-后片</t>
  </si>
  <si>
    <t>平车合后中缝*1</t>
  </si>
  <si>
    <t>平车压后中缝明线*1</t>
  </si>
  <si>
    <t>平车压后中缝明线*1（套起做）</t>
  </si>
  <si>
    <t>平车对位合后担干*1</t>
  </si>
  <si>
    <t>平车压后担干明线*1</t>
  </si>
  <si>
    <t>平车压后担干明线*1（套起做）</t>
  </si>
  <si>
    <t>C2</t>
  </si>
  <si>
    <t>7-组合</t>
  </si>
  <si>
    <t>挂片</t>
  </si>
  <si>
    <t>挂片/配补片/配包</t>
  </si>
  <si>
    <t>平车合面肩缝*2</t>
  </si>
  <si>
    <t>中烫开骨烫面肩缝*2</t>
  </si>
  <si>
    <t>平车跟线对位上面领*1</t>
  </si>
  <si>
    <t>B3</t>
  </si>
  <si>
    <t>平车对位上面开袖*2</t>
  </si>
  <si>
    <t>中烫打刀口开骨烫袖圈缝*2</t>
  </si>
  <si>
    <t>平车合面布侧缝及袖底缝*2</t>
  </si>
  <si>
    <t>中烫开骨烫侧缝、袖底缝2*1</t>
  </si>
  <si>
    <t>手工画前中、侧袋高低位*2</t>
  </si>
  <si>
    <t>手工画前中、侧袋高低位*2（套起做）</t>
  </si>
  <si>
    <t>E4</t>
  </si>
  <si>
    <t>平车跟线对位上面下摆*1</t>
  </si>
  <si>
    <t>平车跟线对位上面下摆*1（下摆两端面里分开上）</t>
  </si>
  <si>
    <r>
      <rPr>
        <sz val="10"/>
        <color theme="1"/>
        <rFont val="宋体"/>
        <charset val="134"/>
        <scheme val="minor"/>
      </rPr>
      <t>平车跟线套里布领*1</t>
    </r>
    <r>
      <rPr>
        <sz val="10"/>
        <color rgb="FFFF0000"/>
        <rFont val="宋体"/>
        <charset val="134"/>
        <scheme val="minor"/>
      </rPr>
      <t>(修止口）</t>
    </r>
  </si>
  <si>
    <t>平车跟线套里布领*1</t>
  </si>
  <si>
    <t>平车跟画线上里布下摆挂面位一段*2</t>
  </si>
  <si>
    <t>平车对位套里面布门襟暗线*2</t>
  </si>
  <si>
    <t>中烫开骨烫平门襟缝*2</t>
  </si>
  <si>
    <t>平车套跟线套里下摆连固定两端面里分开缝*1</t>
  </si>
  <si>
    <t>手工翻里面布袖子2*2</t>
  </si>
  <si>
    <t>平车跟线对位套里布袖口*2</t>
  </si>
  <si>
    <t>平车订肩及袖底缝嵌条*4</t>
  </si>
  <si>
    <t>手工翻衣服*1</t>
  </si>
  <si>
    <t>手工翻衣服*1（下摆角、领角需翻标准）</t>
  </si>
  <si>
    <t>平车压领、门襟、下摆明线*1</t>
  </si>
  <si>
    <t>平车封左袖洞连翻袖*1</t>
  </si>
  <si>
    <t>中查</t>
  </si>
  <si>
    <t>检验</t>
  </si>
  <si>
    <t>组检成品</t>
  </si>
  <si>
    <t>8-专机</t>
  </si>
  <si>
    <t>手工实样点门襟面四合扣位*5</t>
  </si>
  <si>
    <t>啤机冲面门襟孔*5</t>
  </si>
  <si>
    <t>啤机</t>
  </si>
  <si>
    <t>手工点门襟底四合扣位*5</t>
  </si>
  <si>
    <t>啤机冲底门襟孔*5</t>
  </si>
  <si>
    <t>机打门襟面四合扣*5</t>
  </si>
  <si>
    <t>机打门襟底面四合扣*10</t>
  </si>
  <si>
    <t>机打门襟底四合扣*5</t>
  </si>
  <si>
    <t>手工扣四合扣*5</t>
  </si>
  <si>
    <t>平车成品订后中尺码标连撕手撕标*1</t>
  </si>
  <si>
    <t>平车成品订后中尺码标连撕手撕标*1（云南+润丰61962件）</t>
  </si>
  <si>
    <t>平车成品夹订洗标、LOGO标*1</t>
  </si>
  <si>
    <t>平车成品夹订洗标、LOGO标*1（云南+润丰50815件）</t>
  </si>
  <si>
    <t>平车合里布袖底缝连合侧缝及左侧留洗标位*2（左袖底留口 车台定位）（</t>
  </si>
  <si>
    <t>平车合里布袖底缝连合侧缝及左侧留洗标位*2（左袖底留口 车台定位）（（云南+润丰50815件）</t>
  </si>
  <si>
    <t>9-尾部</t>
  </si>
  <si>
    <t>大烫整件熏烫</t>
  </si>
  <si>
    <t>整烫（尾部）</t>
  </si>
  <si>
    <t>检验/剪线毛</t>
  </si>
  <si>
    <t>尾查（成品）</t>
  </si>
  <si>
    <t>分色/分码</t>
  </si>
  <si>
    <t>分PO</t>
  </si>
  <si>
    <t>查码</t>
  </si>
  <si>
    <t>包装搬运</t>
  </si>
  <si>
    <t>穿挂主吊牌打结*1</t>
  </si>
  <si>
    <t>枪打尺码吊牌*1</t>
  </si>
  <si>
    <t>手工单件折叠*1</t>
  </si>
  <si>
    <t>验针</t>
  </si>
  <si>
    <t>装箱前检查包装</t>
  </si>
  <si>
    <t>混色混码配比</t>
  </si>
  <si>
    <t>装箱25套装箱、放6张防霉纸(写箱号 t贴箱贴  封箱 装箱 放天地板 封箱 称箱 放箱)</t>
  </si>
  <si>
    <t>粘毛</t>
  </si>
  <si>
    <t>手工粘浮毛</t>
  </si>
  <si>
    <t>手工撕防霉纸</t>
  </si>
  <si>
    <t>手工撕防霉纸*6   1/25</t>
  </si>
  <si>
    <t>拉箱入库（套）</t>
  </si>
  <si>
    <t>制表人：钱玲燕      审核：　　　    　 审批：　        批准：                          　　　　</t>
  </si>
  <si>
    <t>打印日期：2025-04-24 16:31:11</t>
  </si>
  <si>
    <t>标准单价</t>
  </si>
  <si>
    <r>
      <rPr>
        <sz val="10"/>
        <color theme="1"/>
        <rFont val="宋体"/>
        <charset val="134"/>
        <scheme val="minor"/>
      </rPr>
      <t>手工写手撕唛连剪断*1</t>
    </r>
    <r>
      <rPr>
        <sz val="10"/>
        <color rgb="FFFF0000"/>
        <rFont val="宋体"/>
        <charset val="134"/>
        <scheme val="minor"/>
      </rPr>
      <t>（云南+润丰57254件）</t>
    </r>
  </si>
  <si>
    <r>
      <rPr>
        <sz val="10"/>
        <color theme="1"/>
        <rFont val="宋体"/>
        <charset val="134"/>
        <scheme val="minor"/>
      </rPr>
      <t>平车落左边挂面手撕标*1（套起做）</t>
    </r>
    <r>
      <rPr>
        <sz val="10"/>
        <color rgb="FFFF0000"/>
        <rFont val="宋体"/>
        <charset val="134"/>
        <scheme val="minor"/>
      </rPr>
      <t>（云南+润丰54986件）</t>
    </r>
  </si>
  <si>
    <r>
      <rPr>
        <sz val="10"/>
        <color theme="1"/>
        <rFont val="宋体"/>
        <charset val="134"/>
        <scheme val="minor"/>
      </rPr>
      <t>平车成品订后中尺码标连撕手撕标*1</t>
    </r>
    <r>
      <rPr>
        <sz val="10"/>
        <color rgb="FFFF0000"/>
        <rFont val="宋体"/>
        <charset val="134"/>
        <scheme val="minor"/>
      </rPr>
      <t>（云南+润丰61962件）</t>
    </r>
  </si>
  <si>
    <r>
      <rPr>
        <sz val="10"/>
        <color theme="1"/>
        <rFont val="宋体"/>
        <charset val="134"/>
        <scheme val="minor"/>
      </rPr>
      <t>平车成品夹订洗标、LOGO标*1</t>
    </r>
    <r>
      <rPr>
        <sz val="10"/>
        <color rgb="FFFF0000"/>
        <rFont val="宋体"/>
        <charset val="134"/>
        <scheme val="minor"/>
      </rPr>
      <t>（云南+润丰50815件）</t>
    </r>
  </si>
  <si>
    <r>
      <rPr>
        <sz val="10"/>
        <color theme="1"/>
        <rFont val="宋体"/>
        <charset val="134"/>
        <scheme val="minor"/>
      </rPr>
      <t>平车合里布袖底缝连合侧缝及左侧留洗标位*2（左袖底留口 车台定位）</t>
    </r>
    <r>
      <rPr>
        <sz val="10"/>
        <color rgb="FFFF0000"/>
        <rFont val="宋体"/>
        <charset val="134"/>
        <scheme val="minor"/>
      </rPr>
      <t>（（云南+润丰50815件）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</si>
</sst>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_ "/>
    <numFmt numFmtId="178" formatCode="0.0000_ "/>
  </numFmts>
  <fonts count="27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b/>
      <sz val="10"/>
      <name val="宋体"/>
      <charset val="134"/>
      <scheme val="minor"/>
    </font>
    <font>
      <sz val="1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6" borderId="11" applyNumberFormat="0" applyAlignment="0" applyProtection="0">
      <alignment vertical="center"/>
    </xf>
    <xf numFmtId="0" fontId="18" fillId="6" borderId="10" applyNumberFormat="0" applyAlignment="0" applyProtection="0">
      <alignment vertical="center"/>
    </xf>
    <xf numFmtId="0" fontId="19" fillId="7" borderId="12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>
      <alignment vertical="center"/>
    </xf>
    <xf numFmtId="49" fontId="3" fillId="0" borderId="1" xfId="0" applyNumberFormat="1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176" fontId="3" fillId="0" borderId="1" xfId="0" applyNumberFormat="1" applyFont="1" applyBorder="1" applyAlignment="1">
      <alignment horizontal="left" vertical="center"/>
    </xf>
    <xf numFmtId="9" fontId="3" fillId="0" borderId="1" xfId="0" applyNumberFormat="1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vertical="center" wrapText="1"/>
    </xf>
    <xf numFmtId="176" fontId="3" fillId="0" borderId="1" xfId="0" applyNumberFormat="1" applyFont="1" applyFill="1" applyBorder="1" applyAlignment="1">
      <alignment vertical="center"/>
    </xf>
    <xf numFmtId="177" fontId="3" fillId="0" borderId="1" xfId="0" applyNumberFormat="1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vertical="center" wrapText="1"/>
    </xf>
    <xf numFmtId="178" fontId="3" fillId="0" borderId="1" xfId="0" applyNumberFormat="1" applyFont="1" applyFill="1" applyBorder="1" applyAlignment="1">
      <alignment vertical="center"/>
    </xf>
    <xf numFmtId="0" fontId="3" fillId="0" borderId="0" xfId="0" applyFont="1" applyFill="1">
      <alignment vertical="center"/>
    </xf>
    <xf numFmtId="0" fontId="3" fillId="0" borderId="0" xfId="0" applyFont="1">
      <alignment vertical="center"/>
    </xf>
    <xf numFmtId="49" fontId="3" fillId="0" borderId="2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horizontal="left" vertical="center"/>
    </xf>
    <xf numFmtId="49" fontId="3" fillId="0" borderId="4" xfId="0" applyNumberFormat="1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9" fontId="3" fillId="0" borderId="2" xfId="0" applyNumberFormat="1" applyFont="1" applyBorder="1" applyAlignment="1">
      <alignment horizontal="left" vertical="center"/>
    </xf>
    <xf numFmtId="9" fontId="3" fillId="0" borderId="3" xfId="0" applyNumberFormat="1" applyFont="1" applyBorder="1" applyAlignment="1">
      <alignment horizontal="left" vertical="center"/>
    </xf>
    <xf numFmtId="9" fontId="3" fillId="0" borderId="4" xfId="0" applyNumberFormat="1" applyFont="1" applyBorder="1" applyAlignment="1">
      <alignment horizontal="left" vertical="center"/>
    </xf>
    <xf numFmtId="0" fontId="3" fillId="3" borderId="1" xfId="0" applyFont="1" applyFill="1" applyBorder="1">
      <alignment vertical="center"/>
    </xf>
    <xf numFmtId="0" fontId="4" fillId="3" borderId="1" xfId="0" applyFont="1" applyFill="1" applyBorder="1">
      <alignment vertical="center"/>
    </xf>
    <xf numFmtId="49" fontId="3" fillId="0" borderId="1" xfId="0" applyNumberFormat="1" applyFont="1" applyBorder="1" applyAlignment="1">
      <alignment vertical="center" wrapText="1"/>
    </xf>
    <xf numFmtId="176" fontId="3" fillId="0" borderId="1" xfId="0" applyNumberFormat="1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177" fontId="3" fillId="0" borderId="1" xfId="0" applyNumberFormat="1" applyFont="1" applyBorder="1">
      <alignment vertical="center"/>
    </xf>
    <xf numFmtId="176" fontId="3" fillId="0" borderId="1" xfId="0" applyNumberFormat="1" applyFont="1" applyFill="1" applyBorder="1">
      <alignment vertical="center"/>
    </xf>
    <xf numFmtId="177" fontId="3" fillId="0" borderId="1" xfId="0" applyNumberFormat="1" applyFont="1" applyFill="1" applyBorder="1">
      <alignment vertical="center"/>
    </xf>
    <xf numFmtId="49" fontId="3" fillId="0" borderId="5" xfId="0" applyNumberFormat="1" applyFont="1" applyBorder="1" applyAlignment="1">
      <alignment horizontal="center" vertical="center" wrapText="1"/>
    </xf>
    <xf numFmtId="176" fontId="3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77" fontId="3" fillId="0" borderId="5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vertical="center" wrapText="1"/>
    </xf>
    <xf numFmtId="176" fontId="3" fillId="0" borderId="6" xfId="0" applyNumberFormat="1" applyFont="1" applyBorder="1">
      <alignment vertical="center"/>
    </xf>
    <xf numFmtId="0" fontId="3" fillId="0" borderId="6" xfId="0" applyFont="1" applyBorder="1" applyAlignment="1">
      <alignment horizontal="center" vertical="center"/>
    </xf>
    <xf numFmtId="177" fontId="3" fillId="0" borderId="6" xfId="0" applyNumberFormat="1" applyFont="1" applyBorder="1">
      <alignment vertical="center"/>
    </xf>
    <xf numFmtId="0" fontId="5" fillId="3" borderId="1" xfId="0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vertical="center" wrapText="1"/>
    </xf>
    <xf numFmtId="0" fontId="6" fillId="3" borderId="1" xfId="0" applyFont="1" applyFill="1" applyBorder="1">
      <alignment vertical="center"/>
    </xf>
    <xf numFmtId="49" fontId="7" fillId="3" borderId="1" xfId="0" applyNumberFormat="1" applyFont="1" applyFill="1" applyBorder="1" applyAlignment="1">
      <alignment vertical="center" wrapText="1"/>
    </xf>
    <xf numFmtId="176" fontId="3" fillId="3" borderId="1" xfId="0" applyNumberFormat="1" applyFont="1" applyFill="1" applyBorder="1" applyAlignment="1">
      <alignment vertical="center"/>
    </xf>
    <xf numFmtId="177" fontId="3" fillId="3" borderId="1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377825</xdr:colOff>
      <xdr:row>2</xdr:row>
      <xdr:rowOff>146050</xdr:rowOff>
    </xdr:from>
    <xdr:to>
      <xdr:col>7</xdr:col>
      <xdr:colOff>515620</xdr:colOff>
      <xdr:row>18</xdr:row>
      <xdr:rowOff>57150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73975" y="727075"/>
          <a:ext cx="1966595" cy="14986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273050</xdr:colOff>
      <xdr:row>5</xdr:row>
      <xdr:rowOff>98425</xdr:rowOff>
    </xdr:from>
    <xdr:to>
      <xdr:col>8</xdr:col>
      <xdr:colOff>311150</xdr:colOff>
      <xdr:row>17</xdr:row>
      <xdr:rowOff>92075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788150" y="1193800"/>
          <a:ext cx="2867025" cy="21844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9"/>
  <sheetViews>
    <sheetView tabSelected="1" view="pageBreakPreview" zoomScale="130" zoomScaleNormal="100" workbookViewId="0">
      <pane xSplit="2" ySplit="20" topLeftCell="C69" activePane="bottomRight" state="frozen"/>
      <selection/>
      <selection pane="topRight"/>
      <selection pane="bottomLeft"/>
      <selection pane="bottomRight" activeCell="I1" sqref="I$1:I$1048576"/>
    </sheetView>
  </sheetViews>
  <sheetFormatPr defaultColWidth="9" defaultRowHeight="12" outlineLevelCol="7"/>
  <cols>
    <col min="1" max="1" width="9.625" style="20" customWidth="1"/>
    <col min="2" max="2" width="37.375" style="20" customWidth="1"/>
    <col min="3" max="3" width="38.125" style="20" customWidth="1"/>
    <col min="4" max="4" width="10.625" style="20" customWidth="1"/>
    <col min="5" max="8" width="8" style="20" customWidth="1"/>
    <col min="9" max="16384" width="9" style="20"/>
  </cols>
  <sheetData>
    <row r="1" ht="25.5" spans="1:8">
      <c r="A1" s="1" t="s">
        <v>0</v>
      </c>
      <c r="B1" s="1"/>
      <c r="C1" s="1"/>
      <c r="D1" s="1"/>
      <c r="E1" s="1"/>
      <c r="F1" s="1"/>
      <c r="G1" s="1"/>
      <c r="H1" s="1"/>
    </row>
    <row r="2" ht="20.25" spans="1:8">
      <c r="A2" s="2" t="s">
        <v>1</v>
      </c>
      <c r="B2" s="2"/>
      <c r="C2" s="2"/>
      <c r="D2" s="2"/>
      <c r="E2" s="2"/>
      <c r="F2" s="2"/>
      <c r="G2" s="2"/>
      <c r="H2" s="2"/>
    </row>
    <row r="3" spans="1:8">
      <c r="A3" s="3" t="s">
        <v>2</v>
      </c>
      <c r="B3" s="3"/>
      <c r="C3" s="3"/>
      <c r="D3" s="3"/>
      <c r="E3" s="3"/>
      <c r="F3" s="3"/>
      <c r="G3" s="3"/>
      <c r="H3" s="3"/>
    </row>
    <row r="4" spans="1:8">
      <c r="A4" s="4" t="s">
        <v>3</v>
      </c>
      <c r="B4" s="21" t="s">
        <v>4</v>
      </c>
      <c r="C4" s="22"/>
      <c r="D4" s="22"/>
      <c r="E4" s="23"/>
      <c r="F4" s="6"/>
      <c r="G4" s="6"/>
      <c r="H4" s="6"/>
    </row>
    <row r="5" spans="1:8">
      <c r="A5" s="4" t="s">
        <v>5</v>
      </c>
      <c r="B5" s="24" t="s">
        <v>6</v>
      </c>
      <c r="C5" s="25"/>
      <c r="D5" s="25"/>
      <c r="E5" s="26"/>
      <c r="F5" s="6"/>
      <c r="G5" s="6"/>
      <c r="H5" s="6"/>
    </row>
    <row r="6" spans="1:8">
      <c r="A6" s="4" t="s">
        <v>7</v>
      </c>
      <c r="B6" s="21" t="s">
        <v>4</v>
      </c>
      <c r="C6" s="22"/>
      <c r="D6" s="22"/>
      <c r="E6" s="23"/>
      <c r="F6" s="6"/>
      <c r="G6" s="6"/>
      <c r="H6" s="6"/>
    </row>
    <row r="7" ht="24" customHeight="1" spans="1:8">
      <c r="A7" s="4" t="s">
        <v>8</v>
      </c>
      <c r="B7" s="27" t="s">
        <v>9</v>
      </c>
      <c r="C7" s="28"/>
      <c r="D7" s="28"/>
      <c r="E7" s="29"/>
      <c r="F7" s="6"/>
      <c r="G7" s="6"/>
      <c r="H7" s="6"/>
    </row>
    <row r="8" customHeight="1" spans="1:8">
      <c r="A8" s="4" t="s">
        <v>10</v>
      </c>
      <c r="B8" s="27"/>
      <c r="C8" s="28"/>
      <c r="D8" s="28"/>
      <c r="E8" s="29"/>
      <c r="F8" s="6"/>
      <c r="G8" s="6"/>
      <c r="H8" s="6"/>
    </row>
    <row r="9" spans="1:8">
      <c r="A9" s="4" t="s">
        <v>11</v>
      </c>
      <c r="B9" s="24">
        <v>300000</v>
      </c>
      <c r="C9" s="25"/>
      <c r="D9" s="25"/>
      <c r="E9" s="26"/>
      <c r="F9" s="6"/>
      <c r="G9" s="6"/>
      <c r="H9" s="6"/>
    </row>
    <row r="10" spans="1:8">
      <c r="A10" s="8" t="s">
        <v>12</v>
      </c>
      <c r="B10" s="24">
        <f>SUM(F44:F86,F89:F108)</f>
        <v>1670.2</v>
      </c>
      <c r="C10" s="25"/>
      <c r="D10" s="25"/>
      <c r="E10" s="26"/>
      <c r="F10" s="6"/>
      <c r="G10" s="6"/>
      <c r="H10" s="6"/>
    </row>
    <row r="11" ht="17" customHeight="1" spans="1:8">
      <c r="A11" s="8" t="s">
        <v>13</v>
      </c>
      <c r="B11" s="24">
        <f>37800/B10</f>
        <v>22.6320201173512</v>
      </c>
      <c r="C11" s="25"/>
      <c r="D11" s="25"/>
      <c r="E11" s="26"/>
      <c r="F11" s="6"/>
      <c r="G11" s="6"/>
      <c r="H11" s="6"/>
    </row>
    <row r="12" hidden="1" spans="1:8">
      <c r="A12" s="4" t="s">
        <v>14</v>
      </c>
      <c r="B12" s="24"/>
      <c r="C12" s="25"/>
      <c r="D12" s="25"/>
      <c r="E12" s="26"/>
      <c r="F12" s="6"/>
      <c r="G12" s="6"/>
      <c r="H12" s="6"/>
    </row>
    <row r="13" hidden="1" spans="1:8">
      <c r="A13" s="4" t="s">
        <v>15</v>
      </c>
      <c r="B13" s="30"/>
      <c r="C13" s="31"/>
      <c r="D13" s="31"/>
      <c r="E13" s="32"/>
      <c r="F13" s="6"/>
      <c r="G13" s="6"/>
      <c r="H13" s="6"/>
    </row>
    <row r="14" hidden="1" spans="1:8">
      <c r="A14" s="8" t="s">
        <v>16</v>
      </c>
      <c r="B14" s="24"/>
      <c r="C14" s="25"/>
      <c r="D14" s="25"/>
      <c r="E14" s="26"/>
      <c r="F14" s="6"/>
      <c r="G14" s="6"/>
      <c r="H14" s="6"/>
    </row>
    <row r="15" hidden="1" spans="1:8">
      <c r="A15" s="8" t="s">
        <v>17</v>
      </c>
      <c r="B15" s="24"/>
      <c r="C15" s="25"/>
      <c r="D15" s="25"/>
      <c r="E15" s="26"/>
      <c r="F15" s="6"/>
      <c r="G15" s="6"/>
      <c r="H15" s="6"/>
    </row>
    <row r="16" hidden="1" spans="1:8">
      <c r="A16" s="8" t="s">
        <v>18</v>
      </c>
      <c r="B16" s="24"/>
      <c r="C16" s="25"/>
      <c r="D16" s="25"/>
      <c r="E16" s="26"/>
      <c r="F16" s="6"/>
      <c r="G16" s="6"/>
      <c r="H16" s="6"/>
    </row>
    <row r="17" hidden="1" spans="1:8">
      <c r="A17" s="8" t="s">
        <v>19</v>
      </c>
      <c r="B17" s="24"/>
      <c r="C17" s="25"/>
      <c r="D17" s="25"/>
      <c r="E17" s="26"/>
      <c r="F17" s="6"/>
      <c r="G17" s="6"/>
      <c r="H17" s="6"/>
    </row>
    <row r="18" hidden="1" customHeight="1" spans="1:8">
      <c r="A18" s="4" t="s">
        <v>20</v>
      </c>
      <c r="B18" s="27"/>
      <c r="C18" s="28"/>
      <c r="D18" s="28"/>
      <c r="E18" s="29"/>
      <c r="F18" s="6"/>
      <c r="G18" s="6"/>
      <c r="H18" s="6"/>
    </row>
    <row r="19" spans="1:8">
      <c r="A19" s="4" t="s">
        <v>21</v>
      </c>
      <c r="B19" s="24" t="s">
        <v>22</v>
      </c>
      <c r="C19" s="25"/>
      <c r="D19" s="25"/>
      <c r="E19" s="26"/>
      <c r="F19" s="6"/>
      <c r="G19" s="6"/>
      <c r="H19" s="6"/>
    </row>
    <row r="20" spans="1:8">
      <c r="A20" s="11" t="s">
        <v>23</v>
      </c>
      <c r="B20" s="11" t="s">
        <v>24</v>
      </c>
      <c r="C20" s="11" t="s">
        <v>24</v>
      </c>
      <c r="D20" s="11" t="s">
        <v>25</v>
      </c>
      <c r="E20" s="11" t="s">
        <v>26</v>
      </c>
      <c r="F20" s="11" t="s">
        <v>27</v>
      </c>
      <c r="G20" s="11" t="s">
        <v>28</v>
      </c>
      <c r="H20" s="11" t="s">
        <v>29</v>
      </c>
    </row>
    <row r="21" spans="1:8">
      <c r="A21" s="33"/>
      <c r="B21" s="34" t="s">
        <v>30</v>
      </c>
      <c r="C21" s="4" t="s">
        <v>30</v>
      </c>
      <c r="D21" s="4"/>
      <c r="E21" s="4"/>
      <c r="F21" s="4"/>
      <c r="G21" s="4"/>
      <c r="H21" s="4"/>
    </row>
    <row r="22" spans="1:8">
      <c r="A22" s="16">
        <v>301</v>
      </c>
      <c r="B22" s="17" t="s">
        <v>31</v>
      </c>
      <c r="C22" s="35" t="s">
        <v>31</v>
      </c>
      <c r="D22" s="35" t="s">
        <v>32</v>
      </c>
      <c r="E22" s="36">
        <v>5.2</v>
      </c>
      <c r="F22" s="36">
        <v>5.9</v>
      </c>
      <c r="G22" s="37" t="s">
        <v>33</v>
      </c>
      <c r="H22" s="38">
        <v>610</v>
      </c>
    </row>
    <row r="23" spans="1:8">
      <c r="A23" s="16">
        <v>302</v>
      </c>
      <c r="B23" s="17" t="s">
        <v>34</v>
      </c>
      <c r="C23" s="35" t="s">
        <v>34</v>
      </c>
      <c r="D23" s="35" t="s">
        <v>35</v>
      </c>
      <c r="E23" s="36">
        <v>17.2</v>
      </c>
      <c r="F23" s="36">
        <v>19.3</v>
      </c>
      <c r="G23" s="37" t="s">
        <v>36</v>
      </c>
      <c r="H23" s="38">
        <v>187</v>
      </c>
    </row>
    <row r="24" spans="1:8">
      <c r="A24" s="16">
        <v>308</v>
      </c>
      <c r="B24" s="33" t="s">
        <v>37</v>
      </c>
      <c r="C24" s="35" t="s">
        <v>37</v>
      </c>
      <c r="D24" s="35" t="s">
        <v>35</v>
      </c>
      <c r="E24" s="36">
        <v>9.1</v>
      </c>
      <c r="F24" s="36">
        <v>10.2</v>
      </c>
      <c r="G24" s="37" t="s">
        <v>36</v>
      </c>
      <c r="H24" s="38">
        <v>353</v>
      </c>
    </row>
    <row r="25" spans="1:8">
      <c r="A25" s="16">
        <v>309</v>
      </c>
      <c r="B25" s="33" t="s">
        <v>38</v>
      </c>
      <c r="C25" s="35" t="s">
        <v>38</v>
      </c>
      <c r="D25" s="35" t="s">
        <v>39</v>
      </c>
      <c r="E25" s="36">
        <v>4.3</v>
      </c>
      <c r="F25" s="36">
        <v>4.3</v>
      </c>
      <c r="G25" s="37" t="s">
        <v>40</v>
      </c>
      <c r="H25" s="38">
        <v>837</v>
      </c>
    </row>
    <row r="26" s="19" customFormat="1" spans="1:8">
      <c r="A26" s="16">
        <v>310</v>
      </c>
      <c r="B26" s="33" t="s">
        <v>41</v>
      </c>
      <c r="C26" s="13" t="s">
        <v>42</v>
      </c>
      <c r="D26" s="35" t="s">
        <v>43</v>
      </c>
      <c r="E26" s="39"/>
      <c r="F26" s="39">
        <v>7.6</v>
      </c>
      <c r="G26" s="12" t="s">
        <v>33</v>
      </c>
      <c r="H26" s="40"/>
    </row>
    <row r="27" spans="1:8">
      <c r="A27" s="16">
        <v>2</v>
      </c>
      <c r="B27" s="33" t="s">
        <v>44</v>
      </c>
      <c r="C27" s="35" t="s">
        <v>44</v>
      </c>
      <c r="D27" s="35" t="s">
        <v>43</v>
      </c>
      <c r="E27" s="36">
        <v>4.5</v>
      </c>
      <c r="F27" s="36">
        <v>5</v>
      </c>
      <c r="G27" s="37" t="s">
        <v>33</v>
      </c>
      <c r="H27" s="38">
        <v>720</v>
      </c>
    </row>
    <row r="28" spans="1:8">
      <c r="A28" s="16">
        <v>303</v>
      </c>
      <c r="B28" s="17" t="s">
        <v>45</v>
      </c>
      <c r="C28" s="35" t="s">
        <v>45</v>
      </c>
      <c r="D28" s="35" t="s">
        <v>39</v>
      </c>
      <c r="E28" s="36">
        <v>13.7</v>
      </c>
      <c r="F28" s="36">
        <v>13.7</v>
      </c>
      <c r="G28" s="37" t="s">
        <v>40</v>
      </c>
      <c r="H28" s="38">
        <v>263</v>
      </c>
    </row>
    <row r="29" spans="1:8">
      <c r="A29" s="16">
        <v>5</v>
      </c>
      <c r="B29" s="17" t="s">
        <v>46</v>
      </c>
      <c r="C29" s="35" t="s">
        <v>46</v>
      </c>
      <c r="D29" s="35" t="s">
        <v>43</v>
      </c>
      <c r="E29" s="36">
        <v>14.7</v>
      </c>
      <c r="F29" s="36">
        <v>16.2</v>
      </c>
      <c r="G29" s="37" t="s">
        <v>33</v>
      </c>
      <c r="H29" s="38">
        <v>222</v>
      </c>
    </row>
    <row r="30" spans="1:8">
      <c r="A30" s="16">
        <v>16</v>
      </c>
      <c r="B30" s="17" t="s">
        <v>47</v>
      </c>
      <c r="C30" s="35" t="s">
        <v>47</v>
      </c>
      <c r="D30" s="35" t="s">
        <v>43</v>
      </c>
      <c r="E30" s="36">
        <v>21.5</v>
      </c>
      <c r="F30" s="36">
        <v>23.8</v>
      </c>
      <c r="G30" s="37" t="s">
        <v>33</v>
      </c>
      <c r="H30" s="38">
        <v>151</v>
      </c>
    </row>
    <row r="31" spans="1:8">
      <c r="A31" s="16">
        <v>304</v>
      </c>
      <c r="B31" s="17" t="s">
        <v>48</v>
      </c>
      <c r="C31" s="35" t="s">
        <v>48</v>
      </c>
      <c r="D31" s="35" t="s">
        <v>35</v>
      </c>
      <c r="E31" s="36">
        <v>3.2</v>
      </c>
      <c r="F31" s="36">
        <v>3.6</v>
      </c>
      <c r="G31" s="37" t="s">
        <v>36</v>
      </c>
      <c r="H31" s="38">
        <v>1000</v>
      </c>
    </row>
    <row r="32" spans="1:8">
      <c r="A32" s="16">
        <v>170</v>
      </c>
      <c r="B32" s="17" t="s">
        <v>49</v>
      </c>
      <c r="C32" s="35" t="s">
        <v>49</v>
      </c>
      <c r="D32" s="35" t="s">
        <v>43</v>
      </c>
      <c r="E32" s="36">
        <v>19.7</v>
      </c>
      <c r="F32" s="36">
        <v>21.8</v>
      </c>
      <c r="G32" s="37" t="s">
        <v>36</v>
      </c>
      <c r="H32" s="38">
        <v>165</v>
      </c>
    </row>
    <row r="33" spans="1:8">
      <c r="A33" s="16">
        <v>305</v>
      </c>
      <c r="B33" s="17" t="s">
        <v>50</v>
      </c>
      <c r="C33" s="35" t="s">
        <v>50</v>
      </c>
      <c r="D33" s="35" t="s">
        <v>39</v>
      </c>
      <c r="E33" s="36">
        <v>8.5</v>
      </c>
      <c r="F33" s="36">
        <v>8.5</v>
      </c>
      <c r="G33" s="37" t="s">
        <v>40</v>
      </c>
      <c r="H33" s="38">
        <v>424</v>
      </c>
    </row>
    <row r="34" spans="1:8">
      <c r="A34" s="16">
        <v>3</v>
      </c>
      <c r="B34" s="17" t="s">
        <v>51</v>
      </c>
      <c r="C34" s="35" t="s">
        <v>51</v>
      </c>
      <c r="D34" s="35" t="s">
        <v>43</v>
      </c>
      <c r="E34" s="36">
        <v>4.8</v>
      </c>
      <c r="F34" s="36">
        <v>5.2</v>
      </c>
      <c r="G34" s="37" t="s">
        <v>52</v>
      </c>
      <c r="H34" s="38">
        <v>692</v>
      </c>
    </row>
    <row r="35" spans="1:8">
      <c r="A35" s="16">
        <v>306</v>
      </c>
      <c r="B35" s="17" t="s">
        <v>53</v>
      </c>
      <c r="C35" s="35" t="s">
        <v>53</v>
      </c>
      <c r="D35" s="35" t="s">
        <v>35</v>
      </c>
      <c r="E35" s="36">
        <v>0.9</v>
      </c>
      <c r="F35" s="36">
        <v>1</v>
      </c>
      <c r="G35" s="37" t="s">
        <v>36</v>
      </c>
      <c r="H35" s="38">
        <v>3600</v>
      </c>
    </row>
    <row r="36" spans="1:8">
      <c r="A36" s="16">
        <v>307</v>
      </c>
      <c r="B36" s="17" t="s">
        <v>54</v>
      </c>
      <c r="C36" s="35" t="s">
        <v>54</v>
      </c>
      <c r="D36" s="35" t="s">
        <v>55</v>
      </c>
      <c r="E36" s="36">
        <v>2.2</v>
      </c>
      <c r="F36" s="36">
        <v>2.4</v>
      </c>
      <c r="G36" s="37" t="s">
        <v>40</v>
      </c>
      <c r="H36" s="38">
        <v>1500</v>
      </c>
    </row>
    <row r="37" spans="1:8">
      <c r="A37" s="16">
        <v>1</v>
      </c>
      <c r="B37" s="17" t="s">
        <v>56</v>
      </c>
      <c r="C37" s="35" t="s">
        <v>56</v>
      </c>
      <c r="D37" s="35" t="s">
        <v>43</v>
      </c>
      <c r="E37" s="36">
        <v>2.1</v>
      </c>
      <c r="F37" s="36">
        <v>2.3</v>
      </c>
      <c r="G37" s="37" t="s">
        <v>52</v>
      </c>
      <c r="H37" s="38">
        <v>1565</v>
      </c>
    </row>
    <row r="38" spans="1:8">
      <c r="A38" s="16">
        <v>14</v>
      </c>
      <c r="B38" s="17" t="s">
        <v>57</v>
      </c>
      <c r="C38" s="35" t="s">
        <v>57</v>
      </c>
      <c r="D38" s="35" t="s">
        <v>58</v>
      </c>
      <c r="E38" s="36">
        <v>15.6</v>
      </c>
      <c r="F38" s="36">
        <v>17.5</v>
      </c>
      <c r="G38" s="37" t="s">
        <v>33</v>
      </c>
      <c r="H38" s="38">
        <v>206</v>
      </c>
    </row>
    <row r="39" spans="1:8">
      <c r="A39" s="16">
        <v>15</v>
      </c>
      <c r="B39" s="17" t="s">
        <v>59</v>
      </c>
      <c r="C39" s="35" t="s">
        <v>59</v>
      </c>
      <c r="D39" s="35" t="s">
        <v>60</v>
      </c>
      <c r="E39" s="36">
        <v>15.6</v>
      </c>
      <c r="F39" s="36">
        <v>17.5</v>
      </c>
      <c r="G39" s="37" t="s">
        <v>33</v>
      </c>
      <c r="H39" s="38">
        <v>206</v>
      </c>
    </row>
    <row r="40" spans="1:8">
      <c r="A40" s="16">
        <v>17</v>
      </c>
      <c r="B40" s="17" t="s">
        <v>61</v>
      </c>
      <c r="C40" s="35" t="s">
        <v>61</v>
      </c>
      <c r="D40" s="35" t="s">
        <v>62</v>
      </c>
      <c r="E40" s="36">
        <v>33.3</v>
      </c>
      <c r="F40" s="36">
        <v>33.3</v>
      </c>
      <c r="G40" s="37" t="s">
        <v>36</v>
      </c>
      <c r="H40" s="38">
        <v>108</v>
      </c>
    </row>
    <row r="41" spans="1:8">
      <c r="A41" s="16">
        <v>18</v>
      </c>
      <c r="B41" s="17" t="s">
        <v>63</v>
      </c>
      <c r="C41" s="35" t="s">
        <v>63</v>
      </c>
      <c r="D41" s="35" t="s">
        <v>60</v>
      </c>
      <c r="E41" s="36">
        <v>22.5</v>
      </c>
      <c r="F41" s="36">
        <v>25.3</v>
      </c>
      <c r="G41" s="37" t="s">
        <v>33</v>
      </c>
      <c r="H41" s="38">
        <v>142</v>
      </c>
    </row>
    <row r="42" spans="1:8">
      <c r="A42" s="16">
        <v>11</v>
      </c>
      <c r="B42" s="17" t="s">
        <v>64</v>
      </c>
      <c r="C42" s="35"/>
      <c r="D42" s="35"/>
      <c r="E42" s="36"/>
      <c r="F42" s="36"/>
      <c r="G42" s="37"/>
      <c r="H42" s="38"/>
    </row>
    <row r="43" spans="1:8">
      <c r="A43" s="33"/>
      <c r="B43" s="34" t="s">
        <v>65</v>
      </c>
      <c r="C43" s="4" t="s">
        <v>65</v>
      </c>
      <c r="D43" s="4"/>
      <c r="E43" s="4"/>
      <c r="F43" s="4"/>
      <c r="G43" s="4"/>
      <c r="H43" s="4"/>
    </row>
    <row r="44" spans="1:8">
      <c r="A44" s="16">
        <v>22</v>
      </c>
      <c r="B44" s="17" t="s">
        <v>66</v>
      </c>
      <c r="C44" s="35" t="s">
        <v>66</v>
      </c>
      <c r="D44" s="35" t="s">
        <v>67</v>
      </c>
      <c r="E44" s="36">
        <v>1.6</v>
      </c>
      <c r="F44" s="36">
        <v>1.9</v>
      </c>
      <c r="G44" s="37" t="s">
        <v>68</v>
      </c>
      <c r="H44" s="38">
        <v>1895</v>
      </c>
    </row>
    <row r="45" spans="1:8">
      <c r="A45" s="16">
        <v>23</v>
      </c>
      <c r="B45" s="17" t="s">
        <v>69</v>
      </c>
      <c r="C45" s="35" t="s">
        <v>69</v>
      </c>
      <c r="D45" s="35" t="s">
        <v>43</v>
      </c>
      <c r="E45" s="36">
        <v>1.8</v>
      </c>
      <c r="F45" s="36">
        <v>2</v>
      </c>
      <c r="G45" s="37" t="s">
        <v>52</v>
      </c>
      <c r="H45" s="38">
        <v>1800</v>
      </c>
    </row>
    <row r="46" spans="1:8">
      <c r="A46" s="16">
        <v>24</v>
      </c>
      <c r="B46" s="17" t="s">
        <v>70</v>
      </c>
      <c r="C46" s="35" t="s">
        <v>71</v>
      </c>
      <c r="D46" s="35" t="s">
        <v>67</v>
      </c>
      <c r="E46" s="36">
        <v>15.4</v>
      </c>
      <c r="F46" s="36">
        <v>17.2</v>
      </c>
      <c r="G46" s="37" t="s">
        <v>72</v>
      </c>
      <c r="H46" s="38">
        <v>209</v>
      </c>
    </row>
    <row r="47" spans="1:8">
      <c r="A47" s="16">
        <v>25</v>
      </c>
      <c r="B47" s="17" t="s">
        <v>73</v>
      </c>
      <c r="C47" s="35" t="s">
        <v>73</v>
      </c>
      <c r="D47" s="35" t="s">
        <v>60</v>
      </c>
      <c r="E47" s="36">
        <v>8.7</v>
      </c>
      <c r="F47" s="36">
        <v>9.8</v>
      </c>
      <c r="G47" s="37" t="s">
        <v>74</v>
      </c>
      <c r="H47" s="38">
        <v>367</v>
      </c>
    </row>
    <row r="48" spans="1:8">
      <c r="A48" s="16">
        <v>26</v>
      </c>
      <c r="B48" s="17" t="s">
        <v>75</v>
      </c>
      <c r="C48" s="35" t="s">
        <v>76</v>
      </c>
      <c r="D48" s="35" t="s">
        <v>67</v>
      </c>
      <c r="E48" s="36">
        <v>17.7</v>
      </c>
      <c r="F48" s="36">
        <v>19.6</v>
      </c>
      <c r="G48" s="37" t="s">
        <v>77</v>
      </c>
      <c r="H48" s="38">
        <v>184</v>
      </c>
    </row>
    <row r="49" spans="1:8">
      <c r="A49" s="16">
        <v>28</v>
      </c>
      <c r="B49" s="17" t="s">
        <v>78</v>
      </c>
      <c r="C49" s="35" t="s">
        <v>78</v>
      </c>
      <c r="D49" s="35" t="s">
        <v>67</v>
      </c>
      <c r="E49" s="36">
        <v>10.4</v>
      </c>
      <c r="F49" s="36">
        <v>11.6</v>
      </c>
      <c r="G49" s="37" t="s">
        <v>40</v>
      </c>
      <c r="H49" s="38">
        <v>310</v>
      </c>
    </row>
    <row r="50" spans="1:8">
      <c r="A50" s="16">
        <v>29</v>
      </c>
      <c r="B50" s="17" t="s">
        <v>79</v>
      </c>
      <c r="C50" s="35" t="s">
        <v>79</v>
      </c>
      <c r="D50" s="35" t="s">
        <v>67</v>
      </c>
      <c r="E50" s="36">
        <v>30.6</v>
      </c>
      <c r="F50" s="36">
        <v>34.8</v>
      </c>
      <c r="G50" s="37" t="s">
        <v>72</v>
      </c>
      <c r="H50" s="38">
        <v>103</v>
      </c>
    </row>
    <row r="51" spans="1:8">
      <c r="A51" s="16">
        <v>30</v>
      </c>
      <c r="B51" s="17" t="s">
        <v>80</v>
      </c>
      <c r="C51" s="35" t="s">
        <v>80</v>
      </c>
      <c r="D51" s="35" t="s">
        <v>67</v>
      </c>
      <c r="E51" s="36">
        <v>19.6</v>
      </c>
      <c r="F51" s="36">
        <v>21.9</v>
      </c>
      <c r="G51" s="37" t="s">
        <v>72</v>
      </c>
      <c r="H51" s="38">
        <v>164</v>
      </c>
    </row>
    <row r="52" spans="1:8">
      <c r="A52" s="16">
        <v>36</v>
      </c>
      <c r="B52" s="17" t="s">
        <v>81</v>
      </c>
      <c r="C52" s="35" t="s">
        <v>82</v>
      </c>
      <c r="D52" s="35" t="s">
        <v>67</v>
      </c>
      <c r="E52" s="36">
        <v>48.3</v>
      </c>
      <c r="F52" s="36">
        <v>54.5</v>
      </c>
      <c r="G52" s="37" t="s">
        <v>77</v>
      </c>
      <c r="H52" s="38">
        <v>66</v>
      </c>
    </row>
    <row r="53" spans="1:8">
      <c r="A53" s="16">
        <v>37</v>
      </c>
      <c r="B53" s="17" t="s">
        <v>83</v>
      </c>
      <c r="C53" s="35"/>
      <c r="D53" s="35"/>
      <c r="E53" s="36"/>
      <c r="F53" s="36"/>
      <c r="G53" s="37"/>
      <c r="H53" s="38"/>
    </row>
    <row r="54" spans="1:8">
      <c r="A54" s="16">
        <v>38</v>
      </c>
      <c r="B54" s="17" t="s">
        <v>84</v>
      </c>
      <c r="C54" s="41" t="s">
        <v>85</v>
      </c>
      <c r="D54" s="41" t="s">
        <v>67</v>
      </c>
      <c r="E54" s="42">
        <v>55</v>
      </c>
      <c r="F54" s="42">
        <v>62</v>
      </c>
      <c r="G54" s="43" t="s">
        <v>77</v>
      </c>
      <c r="H54" s="44">
        <v>58</v>
      </c>
    </row>
    <row r="55" spans="1:8">
      <c r="A55" s="16">
        <v>39</v>
      </c>
      <c r="B55" s="17" t="s">
        <v>86</v>
      </c>
      <c r="C55" s="45"/>
      <c r="D55" s="45"/>
      <c r="E55" s="46"/>
      <c r="F55" s="46"/>
      <c r="G55" s="47"/>
      <c r="H55" s="48"/>
    </row>
    <row r="56" spans="1:8">
      <c r="A56" s="16">
        <v>41</v>
      </c>
      <c r="B56" s="17" t="s">
        <v>87</v>
      </c>
      <c r="C56" s="35" t="s">
        <v>87</v>
      </c>
      <c r="D56" s="35" t="s">
        <v>60</v>
      </c>
      <c r="E56" s="36">
        <v>27.2</v>
      </c>
      <c r="F56" s="36">
        <v>30.6</v>
      </c>
      <c r="G56" s="37" t="s">
        <v>88</v>
      </c>
      <c r="H56" s="38">
        <v>118</v>
      </c>
    </row>
    <row r="57" spans="1:8">
      <c r="A57" s="33"/>
      <c r="B57" s="34" t="s">
        <v>89</v>
      </c>
      <c r="C57" s="4" t="s">
        <v>89</v>
      </c>
      <c r="D57" s="4"/>
      <c r="E57" s="4"/>
      <c r="F57" s="4"/>
      <c r="G57" s="4"/>
      <c r="H57" s="4"/>
    </row>
    <row r="58" spans="1:8">
      <c r="A58" s="16">
        <v>42</v>
      </c>
      <c r="B58" s="17" t="s">
        <v>90</v>
      </c>
      <c r="C58" s="35" t="s">
        <v>90</v>
      </c>
      <c r="D58" s="35" t="s">
        <v>67</v>
      </c>
      <c r="E58" s="36">
        <v>6.6</v>
      </c>
      <c r="F58" s="36">
        <v>7.4</v>
      </c>
      <c r="G58" s="37" t="s">
        <v>40</v>
      </c>
      <c r="H58" s="38">
        <v>486</v>
      </c>
    </row>
    <row r="59" spans="1:8">
      <c r="A59" s="16">
        <v>43</v>
      </c>
      <c r="B59" s="17" t="s">
        <v>91</v>
      </c>
      <c r="C59" s="35" t="s">
        <v>91</v>
      </c>
      <c r="D59" s="35" t="s">
        <v>60</v>
      </c>
      <c r="E59" s="36">
        <v>22.6</v>
      </c>
      <c r="F59" s="36">
        <v>29.3</v>
      </c>
      <c r="G59" s="37" t="s">
        <v>68</v>
      </c>
      <c r="H59" s="38">
        <v>123</v>
      </c>
    </row>
    <row r="60" spans="1:8">
      <c r="A60" s="16">
        <v>44</v>
      </c>
      <c r="B60" s="17" t="s">
        <v>92</v>
      </c>
      <c r="C60" s="35" t="s">
        <v>93</v>
      </c>
      <c r="D60" s="35" t="s">
        <v>67</v>
      </c>
      <c r="E60" s="36">
        <v>19.8</v>
      </c>
      <c r="F60" s="36">
        <v>25.3</v>
      </c>
      <c r="G60" s="37" t="s">
        <v>94</v>
      </c>
      <c r="H60" s="38">
        <v>142</v>
      </c>
    </row>
    <row r="61" ht="24" spans="1:8">
      <c r="A61" s="16">
        <v>45</v>
      </c>
      <c r="B61" s="17" t="s">
        <v>95</v>
      </c>
      <c r="C61" s="35" t="s">
        <v>96</v>
      </c>
      <c r="D61" s="35" t="s">
        <v>97</v>
      </c>
      <c r="E61" s="36">
        <v>16.6</v>
      </c>
      <c r="F61" s="36">
        <v>18.3</v>
      </c>
      <c r="G61" s="37" t="s">
        <v>40</v>
      </c>
      <c r="H61" s="38">
        <v>197</v>
      </c>
    </row>
    <row r="62" spans="1:8">
      <c r="A62" s="16">
        <v>46</v>
      </c>
      <c r="B62" s="17" t="s">
        <v>98</v>
      </c>
      <c r="C62" s="35" t="s">
        <v>98</v>
      </c>
      <c r="D62" s="35" t="s">
        <v>60</v>
      </c>
      <c r="E62" s="36">
        <v>19.4</v>
      </c>
      <c r="F62" s="36">
        <v>25.2</v>
      </c>
      <c r="G62" s="37" t="s">
        <v>74</v>
      </c>
      <c r="H62" s="38">
        <v>143</v>
      </c>
    </row>
    <row r="63" spans="1:8">
      <c r="A63" s="16">
        <v>47</v>
      </c>
      <c r="B63" s="17" t="s">
        <v>99</v>
      </c>
      <c r="C63" s="35" t="s">
        <v>99</v>
      </c>
      <c r="D63" s="35" t="s">
        <v>43</v>
      </c>
      <c r="E63" s="36">
        <v>5.8</v>
      </c>
      <c r="F63" s="36">
        <v>8.9</v>
      </c>
      <c r="G63" s="37" t="s">
        <v>74</v>
      </c>
      <c r="H63" s="38">
        <v>406</v>
      </c>
    </row>
    <row r="64" spans="1:8">
      <c r="A64" s="16">
        <v>48</v>
      </c>
      <c r="B64" s="17" t="s">
        <v>100</v>
      </c>
      <c r="C64" s="35" t="s">
        <v>100</v>
      </c>
      <c r="D64" s="35" t="s">
        <v>43</v>
      </c>
      <c r="E64" s="36">
        <v>18.3</v>
      </c>
      <c r="F64" s="36">
        <v>20.2</v>
      </c>
      <c r="G64" s="37" t="s">
        <v>33</v>
      </c>
      <c r="H64" s="38">
        <v>178</v>
      </c>
    </row>
    <row r="65" spans="1:8">
      <c r="A65" s="16">
        <v>49</v>
      </c>
      <c r="B65" s="17" t="s">
        <v>101</v>
      </c>
      <c r="C65" s="35" t="s">
        <v>101</v>
      </c>
      <c r="D65" s="35" t="s">
        <v>67</v>
      </c>
      <c r="E65" s="36">
        <v>16.6</v>
      </c>
      <c r="F65" s="36">
        <v>21.4</v>
      </c>
      <c r="G65" s="37" t="s">
        <v>72</v>
      </c>
      <c r="H65" s="38">
        <v>168</v>
      </c>
    </row>
    <row r="66" spans="1:8">
      <c r="A66" s="16">
        <v>50</v>
      </c>
      <c r="B66" s="17" t="s">
        <v>102</v>
      </c>
      <c r="C66" s="35" t="s">
        <v>102</v>
      </c>
      <c r="D66" s="35" t="s">
        <v>60</v>
      </c>
      <c r="E66" s="36">
        <v>22.5</v>
      </c>
      <c r="F66" s="36">
        <v>26.8</v>
      </c>
      <c r="G66" s="37" t="s">
        <v>68</v>
      </c>
      <c r="H66" s="38">
        <v>134</v>
      </c>
    </row>
    <row r="67" ht="24" spans="1:8">
      <c r="A67" s="16">
        <v>51</v>
      </c>
      <c r="B67" s="17" t="s">
        <v>103</v>
      </c>
      <c r="C67" s="35" t="s">
        <v>104</v>
      </c>
      <c r="D67" s="35" t="s">
        <v>97</v>
      </c>
      <c r="E67" s="36">
        <v>20.3</v>
      </c>
      <c r="F67" s="36">
        <v>22.4</v>
      </c>
      <c r="G67" s="37" t="s">
        <v>72</v>
      </c>
      <c r="H67" s="38">
        <v>161</v>
      </c>
    </row>
    <row r="68" spans="1:8">
      <c r="A68" s="33"/>
      <c r="B68" s="34" t="s">
        <v>105</v>
      </c>
      <c r="C68" s="4" t="s">
        <v>105</v>
      </c>
      <c r="D68" s="4"/>
      <c r="E68" s="4"/>
      <c r="F68" s="4"/>
      <c r="G68" s="4"/>
      <c r="H68" s="4"/>
    </row>
    <row r="69" spans="1:8">
      <c r="A69" s="16">
        <v>52</v>
      </c>
      <c r="B69" s="17" t="s">
        <v>106</v>
      </c>
      <c r="C69" s="35" t="s">
        <v>106</v>
      </c>
      <c r="D69" s="35" t="s">
        <v>60</v>
      </c>
      <c r="E69" s="36">
        <v>15.8</v>
      </c>
      <c r="F69" s="36">
        <v>19.5</v>
      </c>
      <c r="G69" s="37" t="s">
        <v>40</v>
      </c>
      <c r="H69" s="38">
        <v>185</v>
      </c>
    </row>
    <row r="70" ht="24" spans="1:8">
      <c r="A70" s="16">
        <v>53</v>
      </c>
      <c r="B70" s="17" t="s">
        <v>107</v>
      </c>
      <c r="C70" s="35" t="s">
        <v>108</v>
      </c>
      <c r="D70" s="35" t="s">
        <v>67</v>
      </c>
      <c r="E70" s="36">
        <v>36.6</v>
      </c>
      <c r="F70" s="36">
        <v>45.1</v>
      </c>
      <c r="G70" s="37" t="s">
        <v>72</v>
      </c>
      <c r="H70" s="38">
        <v>80</v>
      </c>
    </row>
    <row r="71" spans="1:8">
      <c r="A71" s="16">
        <v>55</v>
      </c>
      <c r="B71" s="17" t="s">
        <v>109</v>
      </c>
      <c r="C71" s="35" t="s">
        <v>109</v>
      </c>
      <c r="D71" s="35" t="s">
        <v>67</v>
      </c>
      <c r="E71" s="36">
        <v>33.3</v>
      </c>
      <c r="F71" s="36">
        <v>37.6</v>
      </c>
      <c r="G71" s="37" t="s">
        <v>110</v>
      </c>
      <c r="H71" s="38">
        <v>96</v>
      </c>
    </row>
    <row r="72" spans="1:8">
      <c r="A72" s="33"/>
      <c r="B72" s="34" t="s">
        <v>111</v>
      </c>
      <c r="C72" s="4" t="s">
        <v>111</v>
      </c>
      <c r="D72" s="4"/>
      <c r="E72" s="4"/>
      <c r="F72" s="4"/>
      <c r="G72" s="4"/>
      <c r="H72" s="4"/>
    </row>
    <row r="73" spans="1:8">
      <c r="A73" s="16">
        <v>56</v>
      </c>
      <c r="B73" s="17" t="s">
        <v>112</v>
      </c>
      <c r="C73" s="35" t="s">
        <v>113</v>
      </c>
      <c r="D73" s="35" t="s">
        <v>67</v>
      </c>
      <c r="E73" s="36">
        <v>22.6</v>
      </c>
      <c r="F73" s="36">
        <v>25.4</v>
      </c>
      <c r="G73" s="37" t="s">
        <v>72</v>
      </c>
      <c r="H73" s="38">
        <v>142</v>
      </c>
    </row>
    <row r="74" spans="1:8">
      <c r="A74" s="16">
        <v>57</v>
      </c>
      <c r="B74" s="17" t="s">
        <v>114</v>
      </c>
      <c r="C74" s="35" t="s">
        <v>115</v>
      </c>
      <c r="D74" s="35" t="s">
        <v>43</v>
      </c>
      <c r="E74" s="36">
        <v>19.8</v>
      </c>
      <c r="F74" s="36">
        <v>21.8</v>
      </c>
      <c r="G74" s="37" t="s">
        <v>52</v>
      </c>
      <c r="H74" s="38">
        <v>165</v>
      </c>
    </row>
    <row r="75" spans="1:8">
      <c r="A75" s="16">
        <v>58</v>
      </c>
      <c r="B75" s="17" t="s">
        <v>116</v>
      </c>
      <c r="C75" s="35" t="s">
        <v>117</v>
      </c>
      <c r="D75" s="35" t="s">
        <v>67</v>
      </c>
      <c r="E75" s="36">
        <v>21</v>
      </c>
      <c r="F75" s="36">
        <v>24</v>
      </c>
      <c r="G75" s="37" t="s">
        <v>77</v>
      </c>
      <c r="H75" s="38">
        <v>150</v>
      </c>
    </row>
    <row r="76" ht="24" spans="1:8">
      <c r="A76" s="16">
        <v>59</v>
      </c>
      <c r="B76" s="17" t="s">
        <v>118</v>
      </c>
      <c r="C76" s="35" t="s">
        <v>119</v>
      </c>
      <c r="D76" s="35" t="s">
        <v>120</v>
      </c>
      <c r="E76" s="36">
        <v>61.7</v>
      </c>
      <c r="F76" s="36">
        <v>68.2</v>
      </c>
      <c r="G76" s="37" t="s">
        <v>72</v>
      </c>
      <c r="H76" s="38">
        <v>53</v>
      </c>
    </row>
    <row r="77" spans="1:8">
      <c r="A77" s="16">
        <v>60</v>
      </c>
      <c r="B77" s="17" t="s">
        <v>121</v>
      </c>
      <c r="C77" s="35" t="s">
        <v>121</v>
      </c>
      <c r="D77" s="35" t="s">
        <v>43</v>
      </c>
      <c r="E77" s="36">
        <v>14.2</v>
      </c>
      <c r="F77" s="36">
        <v>15.7</v>
      </c>
      <c r="G77" s="37" t="s">
        <v>72</v>
      </c>
      <c r="H77" s="38">
        <v>229</v>
      </c>
    </row>
    <row r="78" spans="1:8">
      <c r="A78" s="16">
        <v>61</v>
      </c>
      <c r="B78" s="17" t="s">
        <v>122</v>
      </c>
      <c r="C78" s="35" t="s">
        <v>122</v>
      </c>
      <c r="D78" s="35" t="s">
        <v>67</v>
      </c>
      <c r="E78" s="36">
        <v>30.8</v>
      </c>
      <c r="F78" s="36">
        <v>34.3</v>
      </c>
      <c r="G78" s="37" t="s">
        <v>123</v>
      </c>
      <c r="H78" s="38">
        <v>105</v>
      </c>
    </row>
    <row r="79" spans="1:8">
      <c r="A79" s="16">
        <v>62</v>
      </c>
      <c r="B79" s="17" t="s">
        <v>124</v>
      </c>
      <c r="C79" s="35" t="s">
        <v>124</v>
      </c>
      <c r="D79" s="35" t="s">
        <v>67</v>
      </c>
      <c r="E79" s="36">
        <v>33.9</v>
      </c>
      <c r="F79" s="36">
        <v>38.4</v>
      </c>
      <c r="G79" s="37" t="s">
        <v>72</v>
      </c>
      <c r="H79" s="38">
        <v>94</v>
      </c>
    </row>
    <row r="80" spans="1:8">
      <c r="A80" s="16">
        <v>63</v>
      </c>
      <c r="B80" s="17" t="s">
        <v>125</v>
      </c>
      <c r="C80" s="35" t="s">
        <v>125</v>
      </c>
      <c r="D80" s="35" t="s">
        <v>67</v>
      </c>
      <c r="E80" s="36">
        <v>35.2</v>
      </c>
      <c r="F80" s="36">
        <v>39.4</v>
      </c>
      <c r="G80" s="37" t="s">
        <v>123</v>
      </c>
      <c r="H80" s="38">
        <v>91</v>
      </c>
    </row>
    <row r="81" ht="24" spans="1:8">
      <c r="A81" s="16">
        <v>64</v>
      </c>
      <c r="B81" s="17" t="s">
        <v>126</v>
      </c>
      <c r="C81" s="35" t="s">
        <v>127</v>
      </c>
      <c r="D81" s="35" t="s">
        <v>67</v>
      </c>
      <c r="E81" s="36">
        <v>22.1</v>
      </c>
      <c r="F81" s="36">
        <v>24.9</v>
      </c>
      <c r="G81" s="37" t="s">
        <v>40</v>
      </c>
      <c r="H81" s="38">
        <v>145</v>
      </c>
    </row>
    <row r="82" spans="1:8">
      <c r="A82" s="33"/>
      <c r="B82" s="34" t="s">
        <v>128</v>
      </c>
      <c r="C82" s="4" t="s">
        <v>128</v>
      </c>
      <c r="D82" s="4"/>
      <c r="E82" s="4"/>
      <c r="F82" s="4"/>
      <c r="G82" s="4"/>
      <c r="H82" s="4"/>
    </row>
    <row r="83" spans="1:8">
      <c r="A83" s="16">
        <v>65</v>
      </c>
      <c r="B83" s="17" t="s">
        <v>129</v>
      </c>
      <c r="C83" s="35" t="s">
        <v>129</v>
      </c>
      <c r="D83" s="35" t="s">
        <v>67</v>
      </c>
      <c r="E83" s="36">
        <v>13.7</v>
      </c>
      <c r="F83" s="36">
        <v>15.4</v>
      </c>
      <c r="G83" s="37" t="s">
        <v>72</v>
      </c>
      <c r="H83" s="38">
        <v>234</v>
      </c>
    </row>
    <row r="84" spans="1:8">
      <c r="A84" s="16">
        <v>66</v>
      </c>
      <c r="B84" s="17" t="s">
        <v>130</v>
      </c>
      <c r="C84" s="35" t="s">
        <v>131</v>
      </c>
      <c r="D84" s="35" t="s">
        <v>67</v>
      </c>
      <c r="E84" s="36">
        <v>9.2</v>
      </c>
      <c r="F84" s="36">
        <v>10.5</v>
      </c>
      <c r="G84" s="37" t="s">
        <v>72</v>
      </c>
      <c r="H84" s="38">
        <v>343</v>
      </c>
    </row>
    <row r="85" spans="1:8">
      <c r="A85" s="16">
        <v>67</v>
      </c>
      <c r="B85" s="17" t="s">
        <v>132</v>
      </c>
      <c r="C85" s="35" t="s">
        <v>132</v>
      </c>
      <c r="D85" s="35" t="s">
        <v>67</v>
      </c>
      <c r="E85" s="36">
        <v>18.5</v>
      </c>
      <c r="F85" s="36">
        <v>20.9</v>
      </c>
      <c r="G85" s="37" t="s">
        <v>94</v>
      </c>
      <c r="H85" s="38">
        <v>172</v>
      </c>
    </row>
    <row r="86" spans="1:8">
      <c r="A86" s="16">
        <v>68</v>
      </c>
      <c r="B86" s="17" t="s">
        <v>133</v>
      </c>
      <c r="C86" s="35" t="s">
        <v>134</v>
      </c>
      <c r="D86" s="35" t="s">
        <v>67</v>
      </c>
      <c r="E86" s="36">
        <v>13</v>
      </c>
      <c r="F86" s="36">
        <v>14.9</v>
      </c>
      <c r="G86" s="37" t="s">
        <v>135</v>
      </c>
      <c r="H86" s="38">
        <v>242</v>
      </c>
    </row>
    <row r="87" spans="1:8">
      <c r="A87" s="33"/>
      <c r="B87" s="34" t="s">
        <v>136</v>
      </c>
      <c r="C87" s="4" t="s">
        <v>136</v>
      </c>
      <c r="D87" s="4"/>
      <c r="E87" s="4"/>
      <c r="F87" s="4"/>
      <c r="G87" s="4"/>
      <c r="H87" s="4"/>
    </row>
    <row r="88" spans="1:8">
      <c r="A88" s="16">
        <v>27</v>
      </c>
      <c r="B88" s="17" t="s">
        <v>137</v>
      </c>
      <c r="C88" s="35" t="s">
        <v>138</v>
      </c>
      <c r="D88" s="35" t="s">
        <v>43</v>
      </c>
      <c r="E88" s="36">
        <v>50</v>
      </c>
      <c r="F88" s="36">
        <v>55.3</v>
      </c>
      <c r="G88" s="37" t="s">
        <v>36</v>
      </c>
      <c r="H88" s="38">
        <v>65</v>
      </c>
    </row>
    <row r="89" spans="1:8">
      <c r="A89" s="16">
        <v>69</v>
      </c>
      <c r="B89" s="17" t="s">
        <v>139</v>
      </c>
      <c r="C89" s="35" t="s">
        <v>139</v>
      </c>
      <c r="D89" s="35" t="s">
        <v>67</v>
      </c>
      <c r="E89" s="36">
        <v>22.9</v>
      </c>
      <c r="F89" s="36">
        <v>25.6</v>
      </c>
      <c r="G89" s="37" t="s">
        <v>77</v>
      </c>
      <c r="H89" s="38">
        <v>141</v>
      </c>
    </row>
    <row r="90" spans="1:8">
      <c r="A90" s="16">
        <v>70</v>
      </c>
      <c r="B90" s="17" t="s">
        <v>140</v>
      </c>
      <c r="C90" s="35" t="s">
        <v>140</v>
      </c>
      <c r="D90" s="35" t="s">
        <v>60</v>
      </c>
      <c r="E90" s="36">
        <v>11.3</v>
      </c>
      <c r="F90" s="36">
        <v>12.7</v>
      </c>
      <c r="G90" s="37" t="s">
        <v>88</v>
      </c>
      <c r="H90" s="38">
        <v>283</v>
      </c>
    </row>
    <row r="91" spans="1:8">
      <c r="A91" s="16">
        <v>71</v>
      </c>
      <c r="B91" s="17" t="s">
        <v>141</v>
      </c>
      <c r="C91" s="35" t="s">
        <v>141</v>
      </c>
      <c r="D91" s="35" t="s">
        <v>67</v>
      </c>
      <c r="E91" s="36">
        <v>39</v>
      </c>
      <c r="F91" s="36">
        <v>43.7</v>
      </c>
      <c r="G91" s="37" t="s">
        <v>142</v>
      </c>
      <c r="H91" s="38">
        <v>82</v>
      </c>
    </row>
    <row r="92" spans="1:8">
      <c r="A92" s="16">
        <v>72</v>
      </c>
      <c r="B92" s="17" t="s">
        <v>143</v>
      </c>
      <c r="C92" s="35" t="s">
        <v>143</v>
      </c>
      <c r="D92" s="35" t="s">
        <v>67</v>
      </c>
      <c r="E92" s="36">
        <v>42.1</v>
      </c>
      <c r="F92" s="36">
        <v>53.9</v>
      </c>
      <c r="G92" s="37" t="s">
        <v>110</v>
      </c>
      <c r="H92" s="38">
        <v>67</v>
      </c>
    </row>
    <row r="93" spans="1:8">
      <c r="A93" s="16">
        <v>73</v>
      </c>
      <c r="B93" s="17" t="s">
        <v>144</v>
      </c>
      <c r="C93" s="35" t="s">
        <v>144</v>
      </c>
      <c r="D93" s="35" t="s">
        <v>60</v>
      </c>
      <c r="E93" s="36">
        <v>30.6</v>
      </c>
      <c r="F93" s="36">
        <v>34.4</v>
      </c>
      <c r="G93" s="37" t="s">
        <v>88</v>
      </c>
      <c r="H93" s="38">
        <v>105</v>
      </c>
    </row>
    <row r="94" spans="1:8">
      <c r="A94" s="16">
        <v>74</v>
      </c>
      <c r="B94" s="17" t="s">
        <v>145</v>
      </c>
      <c r="C94" s="35" t="s">
        <v>145</v>
      </c>
      <c r="D94" s="35" t="s">
        <v>67</v>
      </c>
      <c r="E94" s="36">
        <v>45.7</v>
      </c>
      <c r="F94" s="36">
        <v>51.7</v>
      </c>
      <c r="G94" s="37" t="s">
        <v>77</v>
      </c>
      <c r="H94" s="38">
        <v>70</v>
      </c>
    </row>
    <row r="95" spans="1:8">
      <c r="A95" s="16">
        <v>75</v>
      </c>
      <c r="B95" s="17" t="s">
        <v>146</v>
      </c>
      <c r="C95" s="35" t="s">
        <v>146</v>
      </c>
      <c r="D95" s="35" t="s">
        <v>60</v>
      </c>
      <c r="E95" s="36">
        <v>21.2</v>
      </c>
      <c r="F95" s="36">
        <v>23.9</v>
      </c>
      <c r="G95" s="37" t="s">
        <v>88</v>
      </c>
      <c r="H95" s="38">
        <v>151</v>
      </c>
    </row>
    <row r="96" spans="1:8">
      <c r="A96" s="16">
        <v>76</v>
      </c>
      <c r="B96" s="17" t="s">
        <v>147</v>
      </c>
      <c r="C96" s="35" t="s">
        <v>148</v>
      </c>
      <c r="D96" s="35" t="s">
        <v>43</v>
      </c>
      <c r="E96" s="36">
        <v>14.4</v>
      </c>
      <c r="F96" s="36">
        <v>15.9</v>
      </c>
      <c r="G96" s="37" t="s">
        <v>149</v>
      </c>
      <c r="H96" s="38">
        <v>226</v>
      </c>
    </row>
    <row r="97" spans="1:8">
      <c r="A97" s="16">
        <v>77</v>
      </c>
      <c r="B97" s="17" t="s">
        <v>150</v>
      </c>
      <c r="C97" s="35" t="s">
        <v>151</v>
      </c>
      <c r="D97" s="35" t="s">
        <v>67</v>
      </c>
      <c r="E97" s="36">
        <v>49.8</v>
      </c>
      <c r="F97" s="36">
        <v>56.4</v>
      </c>
      <c r="G97" s="37" t="s">
        <v>123</v>
      </c>
      <c r="H97" s="38">
        <v>64</v>
      </c>
    </row>
    <row r="98" spans="1:8">
      <c r="A98" s="16">
        <v>78</v>
      </c>
      <c r="B98" s="17" t="s">
        <v>152</v>
      </c>
      <c r="C98" s="35" t="s">
        <v>153</v>
      </c>
      <c r="D98" s="35" t="s">
        <v>67</v>
      </c>
      <c r="E98" s="36">
        <v>40.4</v>
      </c>
      <c r="F98" s="36">
        <v>47.7</v>
      </c>
      <c r="G98" s="37" t="s">
        <v>142</v>
      </c>
      <c r="H98" s="38">
        <v>76</v>
      </c>
    </row>
    <row r="99" spans="1:8">
      <c r="A99" s="16">
        <v>79</v>
      </c>
      <c r="B99" s="17" t="s">
        <v>154</v>
      </c>
      <c r="C99" s="35" t="s">
        <v>154</v>
      </c>
      <c r="D99" s="35" t="s">
        <v>67</v>
      </c>
      <c r="E99" s="36">
        <v>19.9</v>
      </c>
      <c r="F99" s="36">
        <v>22.2</v>
      </c>
      <c r="G99" s="37" t="s">
        <v>110</v>
      </c>
      <c r="H99" s="38">
        <v>162</v>
      </c>
    </row>
    <row r="100" spans="1:8">
      <c r="A100" s="16">
        <v>80</v>
      </c>
      <c r="B100" s="17" t="s">
        <v>155</v>
      </c>
      <c r="C100" s="35" t="s">
        <v>155</v>
      </c>
      <c r="D100" s="35" t="s">
        <v>67</v>
      </c>
      <c r="E100" s="36">
        <v>42.2</v>
      </c>
      <c r="F100" s="36">
        <v>47.6</v>
      </c>
      <c r="G100" s="37" t="s">
        <v>142</v>
      </c>
      <c r="H100" s="38">
        <v>76</v>
      </c>
    </row>
    <row r="101" spans="1:8">
      <c r="A101" s="16">
        <v>81</v>
      </c>
      <c r="B101" s="17" t="s">
        <v>156</v>
      </c>
      <c r="C101" s="35" t="s">
        <v>156</v>
      </c>
      <c r="D101" s="35" t="s">
        <v>60</v>
      </c>
      <c r="E101" s="36">
        <v>20.2</v>
      </c>
      <c r="F101" s="36">
        <v>22.7</v>
      </c>
      <c r="G101" s="37" t="s">
        <v>88</v>
      </c>
      <c r="H101" s="38">
        <v>159</v>
      </c>
    </row>
    <row r="102" spans="1:8">
      <c r="A102" s="16">
        <v>82</v>
      </c>
      <c r="B102" s="17" t="s">
        <v>157</v>
      </c>
      <c r="C102" s="35" t="s">
        <v>157</v>
      </c>
      <c r="D102" s="35" t="s">
        <v>67</v>
      </c>
      <c r="E102" s="36">
        <v>49.1</v>
      </c>
      <c r="F102" s="36">
        <v>58.3</v>
      </c>
      <c r="G102" s="37" t="s">
        <v>142</v>
      </c>
      <c r="H102" s="38">
        <v>62</v>
      </c>
    </row>
    <row r="103" spans="1:8">
      <c r="A103" s="16">
        <v>83</v>
      </c>
      <c r="B103" s="17" t="s">
        <v>158</v>
      </c>
      <c r="C103" s="35" t="s">
        <v>158</v>
      </c>
      <c r="D103" s="35" t="s">
        <v>43</v>
      </c>
      <c r="E103" s="36">
        <v>10.7</v>
      </c>
      <c r="F103" s="36">
        <v>11.9</v>
      </c>
      <c r="G103" s="37" t="s">
        <v>52</v>
      </c>
      <c r="H103" s="38">
        <v>303</v>
      </c>
    </row>
    <row r="104" spans="1:8">
      <c r="A104" s="16">
        <v>84</v>
      </c>
      <c r="B104" s="17" t="s">
        <v>159</v>
      </c>
      <c r="C104" s="35" t="s">
        <v>159</v>
      </c>
      <c r="D104" s="35" t="s">
        <v>67</v>
      </c>
      <c r="E104" s="36">
        <v>52.2</v>
      </c>
      <c r="F104" s="36">
        <v>61.4</v>
      </c>
      <c r="G104" s="37" t="s">
        <v>142</v>
      </c>
      <c r="H104" s="38">
        <v>59</v>
      </c>
    </row>
    <row r="105" spans="1:8">
      <c r="A105" s="16">
        <v>85</v>
      </c>
      <c r="B105" s="17" t="s">
        <v>160</v>
      </c>
      <c r="C105" s="35" t="s">
        <v>160</v>
      </c>
      <c r="D105" s="35" t="s">
        <v>67</v>
      </c>
      <c r="E105" s="36">
        <v>26.8</v>
      </c>
      <c r="F105" s="36">
        <v>31.1</v>
      </c>
      <c r="G105" s="37" t="s">
        <v>77</v>
      </c>
      <c r="H105" s="38">
        <v>116</v>
      </c>
    </row>
    <row r="106" spans="1:8">
      <c r="A106" s="16">
        <v>86</v>
      </c>
      <c r="B106" s="17" t="s">
        <v>161</v>
      </c>
      <c r="C106" s="35" t="s">
        <v>162</v>
      </c>
      <c r="D106" s="35" t="s">
        <v>43</v>
      </c>
      <c r="E106" s="36">
        <v>25.4</v>
      </c>
      <c r="F106" s="36">
        <v>28.1</v>
      </c>
      <c r="G106" s="37" t="s">
        <v>36</v>
      </c>
      <c r="H106" s="38">
        <v>128</v>
      </c>
    </row>
    <row r="107" spans="1:8">
      <c r="A107" s="16">
        <v>87</v>
      </c>
      <c r="B107" s="17" t="s">
        <v>163</v>
      </c>
      <c r="C107" s="35" t="s">
        <v>163</v>
      </c>
      <c r="D107" s="35" t="s">
        <v>67</v>
      </c>
      <c r="E107" s="36">
        <v>62.1</v>
      </c>
      <c r="F107" s="36">
        <v>74.3</v>
      </c>
      <c r="G107" s="37" t="s">
        <v>123</v>
      </c>
      <c r="H107" s="38">
        <v>48</v>
      </c>
    </row>
    <row r="108" spans="1:8">
      <c r="A108" s="16">
        <v>88</v>
      </c>
      <c r="B108" s="17" t="s">
        <v>164</v>
      </c>
      <c r="C108" s="35" t="s">
        <v>164</v>
      </c>
      <c r="D108" s="35" t="s">
        <v>67</v>
      </c>
      <c r="E108" s="36">
        <v>17.5</v>
      </c>
      <c r="F108" s="36">
        <v>19.6</v>
      </c>
      <c r="G108" s="37" t="s">
        <v>72</v>
      </c>
      <c r="H108" s="38">
        <v>184</v>
      </c>
    </row>
    <row r="109" spans="1:8">
      <c r="A109" s="16">
        <v>120</v>
      </c>
      <c r="B109" s="17" t="s">
        <v>165</v>
      </c>
      <c r="C109" s="35" t="s">
        <v>166</v>
      </c>
      <c r="D109" s="35" t="s">
        <v>167</v>
      </c>
      <c r="E109" s="36">
        <v>52.7</v>
      </c>
      <c r="F109" s="36">
        <v>58.3</v>
      </c>
      <c r="G109" s="37" t="s">
        <v>149</v>
      </c>
      <c r="H109" s="38">
        <v>62</v>
      </c>
    </row>
    <row r="110" spans="1:8">
      <c r="A110" s="33"/>
      <c r="B110" s="34" t="s">
        <v>168</v>
      </c>
      <c r="C110" s="4" t="s">
        <v>168</v>
      </c>
      <c r="D110" s="4"/>
      <c r="E110" s="4"/>
      <c r="F110" s="4"/>
      <c r="G110" s="4"/>
      <c r="H110" s="4"/>
    </row>
    <row r="111" spans="1:8">
      <c r="A111" s="16">
        <v>31</v>
      </c>
      <c r="B111" s="17" t="s">
        <v>169</v>
      </c>
      <c r="C111" s="35" t="s">
        <v>169</v>
      </c>
      <c r="D111" s="35" t="s">
        <v>43</v>
      </c>
      <c r="E111" s="36">
        <v>19.8</v>
      </c>
      <c r="F111" s="36">
        <v>21.9</v>
      </c>
      <c r="G111" s="37" t="s">
        <v>52</v>
      </c>
      <c r="H111" s="38">
        <v>164</v>
      </c>
    </row>
    <row r="112" spans="1:8">
      <c r="A112" s="16">
        <v>32</v>
      </c>
      <c r="B112" s="17" t="s">
        <v>170</v>
      </c>
      <c r="C112" s="35" t="s">
        <v>170</v>
      </c>
      <c r="D112" s="35" t="s">
        <v>171</v>
      </c>
      <c r="E112" s="36">
        <v>17.2</v>
      </c>
      <c r="F112" s="36">
        <v>19</v>
      </c>
      <c r="G112" s="37" t="s">
        <v>149</v>
      </c>
      <c r="H112" s="38">
        <v>189</v>
      </c>
    </row>
    <row r="113" spans="1:8">
      <c r="A113" s="16">
        <v>33</v>
      </c>
      <c r="B113" s="17" t="s">
        <v>172</v>
      </c>
      <c r="C113" s="35" t="s">
        <v>172</v>
      </c>
      <c r="D113" s="35" t="s">
        <v>43</v>
      </c>
      <c r="E113" s="36">
        <v>17.6</v>
      </c>
      <c r="F113" s="36">
        <v>19.4</v>
      </c>
      <c r="G113" s="37" t="s">
        <v>52</v>
      </c>
      <c r="H113" s="38">
        <v>186</v>
      </c>
    </row>
    <row r="114" spans="1:8">
      <c r="A114" s="16">
        <v>34</v>
      </c>
      <c r="B114" s="17" t="s">
        <v>173</v>
      </c>
      <c r="C114" s="35" t="s">
        <v>173</v>
      </c>
      <c r="D114" s="35" t="s">
        <v>171</v>
      </c>
      <c r="E114" s="36">
        <v>17.2</v>
      </c>
      <c r="F114" s="36">
        <v>19</v>
      </c>
      <c r="G114" s="37" t="s">
        <v>149</v>
      </c>
      <c r="H114" s="38">
        <v>189</v>
      </c>
    </row>
    <row r="115" spans="1:8">
      <c r="A115" s="16">
        <v>89</v>
      </c>
      <c r="B115" s="17" t="s">
        <v>174</v>
      </c>
      <c r="C115" s="35" t="s">
        <v>175</v>
      </c>
      <c r="D115" s="35" t="s">
        <v>171</v>
      </c>
      <c r="E115" s="36">
        <v>64.3</v>
      </c>
      <c r="F115" s="36">
        <v>71</v>
      </c>
      <c r="G115" s="37" t="s">
        <v>149</v>
      </c>
      <c r="H115" s="38">
        <v>51</v>
      </c>
    </row>
    <row r="116" spans="1:8">
      <c r="A116" s="16">
        <v>93</v>
      </c>
      <c r="B116" s="17" t="s">
        <v>176</v>
      </c>
      <c r="C116" s="35"/>
      <c r="D116" s="35"/>
      <c r="E116" s="36"/>
      <c r="F116" s="36"/>
      <c r="G116" s="37"/>
      <c r="H116" s="38"/>
    </row>
    <row r="117" spans="1:8">
      <c r="A117" s="49">
        <v>92</v>
      </c>
      <c r="B117" s="50" t="s">
        <v>177</v>
      </c>
      <c r="C117" s="35" t="s">
        <v>177</v>
      </c>
      <c r="D117" s="35" t="s">
        <v>43</v>
      </c>
      <c r="E117" s="36">
        <v>9.2</v>
      </c>
      <c r="F117" s="36">
        <v>10.1</v>
      </c>
      <c r="G117" s="37" t="s">
        <v>52</v>
      </c>
      <c r="H117" s="38">
        <v>356</v>
      </c>
    </row>
    <row r="118" ht="24" spans="1:8">
      <c r="A118" s="16">
        <v>97</v>
      </c>
      <c r="B118" s="50" t="s">
        <v>178</v>
      </c>
      <c r="C118" s="35" t="s">
        <v>179</v>
      </c>
      <c r="D118" s="35" t="s">
        <v>67</v>
      </c>
      <c r="E118" s="36">
        <v>14.4</v>
      </c>
      <c r="F118" s="36">
        <v>15.9</v>
      </c>
      <c r="G118" s="37" t="s">
        <v>72</v>
      </c>
      <c r="H118" s="38">
        <v>226</v>
      </c>
    </row>
    <row r="119" ht="24" spans="1:8">
      <c r="A119" s="16">
        <v>98</v>
      </c>
      <c r="B119" s="50" t="s">
        <v>180</v>
      </c>
      <c r="C119" s="35" t="s">
        <v>181</v>
      </c>
      <c r="D119" s="35" t="s">
        <v>67</v>
      </c>
      <c r="E119" s="36">
        <v>17.4</v>
      </c>
      <c r="F119" s="36">
        <v>19.3</v>
      </c>
      <c r="G119" s="37" t="s">
        <v>77</v>
      </c>
      <c r="H119" s="38">
        <v>187</v>
      </c>
    </row>
    <row r="120" ht="24" spans="1:8">
      <c r="A120" s="16">
        <v>100</v>
      </c>
      <c r="B120" s="50" t="s">
        <v>182</v>
      </c>
      <c r="C120" s="35" t="s">
        <v>183</v>
      </c>
      <c r="D120" s="35" t="s">
        <v>67</v>
      </c>
      <c r="E120" s="36">
        <v>43.6</v>
      </c>
      <c r="F120" s="36">
        <v>48.9</v>
      </c>
      <c r="G120" s="37" t="s">
        <v>77</v>
      </c>
      <c r="H120" s="38">
        <v>61</v>
      </c>
    </row>
    <row r="121" s="20" customFormat="1" spans="1:8">
      <c r="A121" s="34" t="s">
        <v>184</v>
      </c>
      <c r="B121" s="51"/>
      <c r="C121" s="4" t="s">
        <v>184</v>
      </c>
      <c r="E121" s="4"/>
      <c r="F121" s="4"/>
      <c r="G121" s="4"/>
      <c r="H121" s="4"/>
    </row>
    <row r="122" s="20" customFormat="1" spans="1:8">
      <c r="A122" s="16">
        <v>103</v>
      </c>
      <c r="B122" s="52" t="s">
        <v>185</v>
      </c>
      <c r="C122" s="35" t="s">
        <v>185</v>
      </c>
      <c r="D122" s="35" t="s">
        <v>186</v>
      </c>
      <c r="E122" s="36">
        <v>45.5</v>
      </c>
      <c r="F122" s="36">
        <v>51.2</v>
      </c>
      <c r="G122" s="37" t="s">
        <v>110</v>
      </c>
      <c r="H122" s="38">
        <v>70</v>
      </c>
    </row>
    <row r="123" s="20" customFormat="1" spans="1:8">
      <c r="A123" s="16">
        <v>105</v>
      </c>
      <c r="B123" s="52" t="s">
        <v>187</v>
      </c>
      <c r="C123" s="35" t="s">
        <v>187</v>
      </c>
      <c r="D123" s="35" t="s">
        <v>188</v>
      </c>
      <c r="E123" s="36">
        <v>58.6</v>
      </c>
      <c r="F123" s="36">
        <v>64.8</v>
      </c>
      <c r="G123" s="37" t="s">
        <v>149</v>
      </c>
      <c r="H123" s="38">
        <v>56</v>
      </c>
    </row>
    <row r="124" s="20" customFormat="1" spans="1:8">
      <c r="A124" s="16">
        <v>95</v>
      </c>
      <c r="B124" s="52" t="s">
        <v>189</v>
      </c>
      <c r="C124" s="35" t="s">
        <v>189</v>
      </c>
      <c r="D124" s="35" t="s">
        <v>43</v>
      </c>
      <c r="E124" s="36">
        <v>5.9</v>
      </c>
      <c r="F124" s="36">
        <v>6.5</v>
      </c>
      <c r="G124" s="37" t="s">
        <v>52</v>
      </c>
      <c r="H124" s="38">
        <v>554</v>
      </c>
    </row>
    <row r="125" s="20" customFormat="1" spans="1:8">
      <c r="A125" s="16">
        <v>96</v>
      </c>
      <c r="B125" s="52" t="s">
        <v>190</v>
      </c>
      <c r="C125" s="35" t="s">
        <v>190</v>
      </c>
      <c r="D125" s="35" t="s">
        <v>43</v>
      </c>
      <c r="E125" s="36">
        <v>2.9</v>
      </c>
      <c r="F125" s="36">
        <v>3.2</v>
      </c>
      <c r="G125" s="37" t="s">
        <v>52</v>
      </c>
      <c r="H125" s="38">
        <v>1125</v>
      </c>
    </row>
    <row r="126" s="20" customFormat="1" spans="1:8">
      <c r="A126" s="16">
        <v>172</v>
      </c>
      <c r="B126" s="52" t="s">
        <v>191</v>
      </c>
      <c r="C126" s="35" t="s">
        <v>191</v>
      </c>
      <c r="D126" s="35" t="s">
        <v>43</v>
      </c>
      <c r="E126" s="36">
        <v>3.7</v>
      </c>
      <c r="F126" s="36">
        <v>4.1</v>
      </c>
      <c r="G126" s="37" t="s">
        <v>52</v>
      </c>
      <c r="H126" s="38">
        <v>878</v>
      </c>
    </row>
    <row r="127" s="20" customFormat="1" spans="1:8">
      <c r="A127" s="16">
        <v>140</v>
      </c>
      <c r="B127" s="52" t="s">
        <v>192</v>
      </c>
      <c r="C127" s="35" t="s">
        <v>192</v>
      </c>
      <c r="D127" s="35" t="s">
        <v>43</v>
      </c>
      <c r="E127" s="36">
        <v>2.6</v>
      </c>
      <c r="F127" s="36">
        <v>2.9</v>
      </c>
      <c r="G127" s="37" t="s">
        <v>52</v>
      </c>
      <c r="H127" s="38">
        <v>1241</v>
      </c>
    </row>
    <row r="128" s="20" customFormat="1" spans="1:8">
      <c r="A128" s="16">
        <v>107</v>
      </c>
      <c r="B128" s="52" t="s">
        <v>193</v>
      </c>
      <c r="C128" s="35" t="s">
        <v>193</v>
      </c>
      <c r="D128" s="35" t="s">
        <v>43</v>
      </c>
      <c r="E128" s="36">
        <v>11.7</v>
      </c>
      <c r="F128" s="36">
        <v>12.9</v>
      </c>
      <c r="G128" s="37" t="s">
        <v>52</v>
      </c>
      <c r="H128" s="38">
        <v>279</v>
      </c>
    </row>
    <row r="129" s="20" customFormat="1" spans="1:8">
      <c r="A129" s="16">
        <v>106</v>
      </c>
      <c r="B129" s="52" t="s">
        <v>194</v>
      </c>
      <c r="C129" s="35" t="s">
        <v>194</v>
      </c>
      <c r="D129" s="35" t="s">
        <v>43</v>
      </c>
      <c r="E129" s="36">
        <v>8.8</v>
      </c>
      <c r="F129" s="36">
        <v>9.7</v>
      </c>
      <c r="G129" s="37" t="s">
        <v>52</v>
      </c>
      <c r="H129" s="38">
        <v>371</v>
      </c>
    </row>
    <row r="130" s="20" customFormat="1" spans="1:8">
      <c r="A130" s="16">
        <v>154</v>
      </c>
      <c r="B130" s="52" t="s">
        <v>195</v>
      </c>
      <c r="C130" s="35" t="s">
        <v>195</v>
      </c>
      <c r="D130" s="35" t="s">
        <v>43</v>
      </c>
      <c r="E130" s="36">
        <v>19</v>
      </c>
      <c r="F130" s="36">
        <v>21</v>
      </c>
      <c r="G130" s="37" t="s">
        <v>52</v>
      </c>
      <c r="H130" s="38">
        <v>171</v>
      </c>
    </row>
    <row r="131" s="20" customFormat="1" spans="1:8">
      <c r="A131" s="16">
        <v>102</v>
      </c>
      <c r="B131" s="52" t="s">
        <v>196</v>
      </c>
      <c r="C131" s="35" t="s">
        <v>196</v>
      </c>
      <c r="D131" s="35" t="s">
        <v>43</v>
      </c>
      <c r="E131" s="36">
        <v>4.3</v>
      </c>
      <c r="F131" s="36">
        <v>4.8</v>
      </c>
      <c r="G131" s="37" t="s">
        <v>52</v>
      </c>
      <c r="H131" s="38">
        <v>750</v>
      </c>
    </row>
    <row r="132" s="20" customFormat="1" spans="1:8">
      <c r="A132" s="16">
        <v>152</v>
      </c>
      <c r="B132" s="52" t="s">
        <v>197</v>
      </c>
      <c r="C132" s="35" t="s">
        <v>197</v>
      </c>
      <c r="D132" s="35" t="s">
        <v>43</v>
      </c>
      <c r="E132" s="36">
        <v>1.3</v>
      </c>
      <c r="F132" s="36">
        <v>1.4</v>
      </c>
      <c r="G132" s="37" t="s">
        <v>52</v>
      </c>
      <c r="H132" s="38">
        <v>2571</v>
      </c>
    </row>
    <row r="133" s="20" customFormat="1" spans="1:8">
      <c r="A133" s="16">
        <v>99</v>
      </c>
      <c r="B133" s="52" t="s">
        <v>198</v>
      </c>
      <c r="C133" s="35" t="s">
        <v>198</v>
      </c>
      <c r="D133" s="35" t="s">
        <v>43</v>
      </c>
      <c r="E133" s="36">
        <v>3.8</v>
      </c>
      <c r="F133" s="36">
        <v>4.2</v>
      </c>
      <c r="G133" s="37" t="s">
        <v>52</v>
      </c>
      <c r="H133" s="38">
        <v>857</v>
      </c>
    </row>
    <row r="134" s="20" customFormat="1" ht="24" spans="1:8">
      <c r="A134" s="16">
        <v>131</v>
      </c>
      <c r="B134" s="52" t="s">
        <v>199</v>
      </c>
      <c r="C134" s="35" t="s">
        <v>199</v>
      </c>
      <c r="D134" s="35" t="s">
        <v>43</v>
      </c>
      <c r="E134" s="36">
        <v>12.9</v>
      </c>
      <c r="F134" s="36">
        <v>14.2</v>
      </c>
      <c r="G134" s="37" t="s">
        <v>52</v>
      </c>
      <c r="H134" s="38">
        <v>254</v>
      </c>
    </row>
    <row r="135" s="20" customFormat="1" spans="1:8">
      <c r="A135" s="16">
        <v>111</v>
      </c>
      <c r="B135" s="52" t="s">
        <v>200</v>
      </c>
      <c r="C135" s="13" t="s">
        <v>201</v>
      </c>
      <c r="D135" s="13" t="s">
        <v>43</v>
      </c>
      <c r="E135" s="14">
        <v>19.8</v>
      </c>
      <c r="F135" s="14">
        <v>21.9</v>
      </c>
      <c r="G135" s="12" t="s">
        <v>33</v>
      </c>
      <c r="H135" s="15">
        <v>164</v>
      </c>
    </row>
    <row r="136" s="20" customFormat="1" spans="1:8">
      <c r="A136" s="49">
        <v>112</v>
      </c>
      <c r="B136" s="50" t="s">
        <v>202</v>
      </c>
      <c r="C136" s="17" t="s">
        <v>203</v>
      </c>
      <c r="D136" s="17" t="s">
        <v>43</v>
      </c>
      <c r="E136" s="53">
        <v>0.5</v>
      </c>
      <c r="F136" s="53">
        <v>0.6</v>
      </c>
      <c r="G136" s="16" t="s">
        <v>52</v>
      </c>
      <c r="H136" s="54">
        <v>6000</v>
      </c>
    </row>
    <row r="137" s="20" customFormat="1" spans="1:8">
      <c r="A137" s="16">
        <v>169</v>
      </c>
      <c r="B137" s="52" t="s">
        <v>204</v>
      </c>
      <c r="C137" s="35" t="s">
        <v>204</v>
      </c>
      <c r="D137" s="35" t="s">
        <v>43</v>
      </c>
      <c r="E137" s="36">
        <v>1.2</v>
      </c>
      <c r="F137" s="36">
        <v>1.3</v>
      </c>
      <c r="G137" s="37" t="s">
        <v>52</v>
      </c>
      <c r="H137" s="38">
        <v>2769</v>
      </c>
    </row>
    <row r="139" s="20" customFormat="1" spans="1:1">
      <c r="A139" s="20" t="s">
        <v>205</v>
      </c>
    </row>
  </sheetData>
  <mergeCells count="27">
    <mergeCell ref="A1:H1"/>
    <mergeCell ref="A2:H2"/>
    <mergeCell ref="A3:H3"/>
    <mergeCell ref="B4:E4"/>
    <mergeCell ref="B5:E5"/>
    <mergeCell ref="B6:E6"/>
    <mergeCell ref="B7:E7"/>
    <mergeCell ref="B8:E8"/>
    <mergeCell ref="B9:E9"/>
    <mergeCell ref="B10:E10"/>
    <mergeCell ref="B11:E11"/>
    <mergeCell ref="B12:E12"/>
    <mergeCell ref="B13:E13"/>
    <mergeCell ref="B14:E14"/>
    <mergeCell ref="B15:E15"/>
    <mergeCell ref="B16:E16"/>
    <mergeCell ref="B17:E17"/>
    <mergeCell ref="B18:E18"/>
    <mergeCell ref="B19:E19"/>
    <mergeCell ref="A139:H139"/>
    <mergeCell ref="C54:C55"/>
    <mergeCell ref="D54:D55"/>
    <mergeCell ref="E54:E55"/>
    <mergeCell ref="F54:F55"/>
    <mergeCell ref="G54:G55"/>
    <mergeCell ref="H54:H55"/>
    <mergeCell ref="F4:H19"/>
  </mergeCells>
  <conditionalFormatting sqref="A21:A137">
    <cfRule type="duplicateValues" dxfId="0" priority="5"/>
  </conditionalFormatting>
  <conditionalFormatting sqref="A1:A20 A138:A1048576">
    <cfRule type="duplicateValues" dxfId="1" priority="1"/>
  </conditionalFormatting>
  <printOptions horizontalCentered="1"/>
  <pageMargins left="0.0791666666666667" right="0.0791666666666667" top="0.396527777777778" bottom="0.396527777777778" header="0.197916666666667" footer="0.197916666666667"/>
  <pageSetup paperSize="9" scale="80" orientation="portrait"/>
  <headerFooter>
    <oddFooter>&amp;R&amp;D &amp;T</oddFooter>
  </headerFooter>
  <colBreaks count="1" manualBreakCount="1">
    <brk id="8" max="1048575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"/>
  <sheetViews>
    <sheetView topLeftCell="A14" workbookViewId="0">
      <selection activeCell="A23" sqref="A23:H25"/>
    </sheetView>
  </sheetViews>
  <sheetFormatPr defaultColWidth="9" defaultRowHeight="13.5"/>
  <cols>
    <col min="1" max="1" width="10.75" customWidth="1"/>
    <col min="2" max="3" width="25" customWidth="1"/>
    <col min="4" max="9" width="12.375" customWidth="1"/>
  </cols>
  <sheetData>
    <row r="1" ht="25.5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0.25" spans="1:9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>
      <c r="A3" s="3" t="s">
        <v>206</v>
      </c>
      <c r="B3" s="3"/>
      <c r="C3" s="3"/>
      <c r="D3" s="3"/>
      <c r="E3" s="3"/>
      <c r="F3" s="3"/>
      <c r="G3" s="3"/>
      <c r="H3" s="3"/>
      <c r="I3" s="3"/>
    </row>
    <row r="4" spans="1:9">
      <c r="A4" s="4" t="s">
        <v>3</v>
      </c>
      <c r="B4" s="5" t="s">
        <v>4</v>
      </c>
      <c r="C4" s="5"/>
      <c r="D4" s="5"/>
      <c r="E4" s="5"/>
      <c r="F4" s="6"/>
      <c r="G4" s="6"/>
      <c r="H4" s="6"/>
      <c r="I4" s="6"/>
    </row>
    <row r="5" spans="1:9">
      <c r="A5" s="4" t="s">
        <v>5</v>
      </c>
      <c r="B5" s="3" t="s">
        <v>6</v>
      </c>
      <c r="C5" s="3"/>
      <c r="D5" s="3"/>
      <c r="E5" s="3"/>
      <c r="F5" s="6"/>
      <c r="G5" s="6"/>
      <c r="H5" s="6"/>
      <c r="I5" s="6"/>
    </row>
    <row r="6" spans="1:9">
      <c r="A6" s="4" t="s">
        <v>7</v>
      </c>
      <c r="B6" s="5" t="s">
        <v>4</v>
      </c>
      <c r="C6" s="5"/>
      <c r="D6" s="5"/>
      <c r="E6" s="5"/>
      <c r="F6" s="6"/>
      <c r="G6" s="6"/>
      <c r="H6" s="6"/>
      <c r="I6" s="6"/>
    </row>
    <row r="7" spans="1:9">
      <c r="A7" s="4" t="s">
        <v>8</v>
      </c>
      <c r="B7" s="7" t="s">
        <v>9</v>
      </c>
      <c r="C7" s="7"/>
      <c r="D7" s="7"/>
      <c r="E7" s="7"/>
      <c r="F7" s="6"/>
      <c r="G7" s="6"/>
      <c r="H7" s="6"/>
      <c r="I7" s="6"/>
    </row>
    <row r="8" spans="1:9">
      <c r="A8" s="4" t="s">
        <v>10</v>
      </c>
      <c r="B8" s="7"/>
      <c r="C8" s="7"/>
      <c r="D8" s="7"/>
      <c r="E8" s="7"/>
      <c r="F8" s="6"/>
      <c r="G8" s="6"/>
      <c r="H8" s="6"/>
      <c r="I8" s="6"/>
    </row>
    <row r="9" spans="1:9">
      <c r="A9" s="4" t="s">
        <v>11</v>
      </c>
      <c r="B9" s="3">
        <v>300000</v>
      </c>
      <c r="C9" s="3"/>
      <c r="D9" s="3"/>
      <c r="E9" s="3"/>
      <c r="F9" s="6"/>
      <c r="G9" s="6"/>
      <c r="H9" s="6"/>
      <c r="I9" s="6"/>
    </row>
    <row r="10" spans="1:9">
      <c r="A10" s="8" t="s">
        <v>12</v>
      </c>
      <c r="B10" s="3"/>
      <c r="C10" s="3"/>
      <c r="D10" s="3"/>
      <c r="E10" s="3"/>
      <c r="F10" s="6"/>
      <c r="G10" s="6"/>
      <c r="H10" s="6"/>
      <c r="I10" s="6"/>
    </row>
    <row r="11" ht="24" spans="1:9">
      <c r="A11" s="8" t="s">
        <v>13</v>
      </c>
      <c r="B11" s="9"/>
      <c r="C11" s="9"/>
      <c r="D11" s="9"/>
      <c r="E11" s="9"/>
      <c r="F11" s="6"/>
      <c r="G11" s="6"/>
      <c r="H11" s="6"/>
      <c r="I11" s="6"/>
    </row>
    <row r="12" spans="1:9">
      <c r="A12" s="4" t="s">
        <v>14</v>
      </c>
      <c r="B12" s="3"/>
      <c r="C12" s="3"/>
      <c r="D12" s="3"/>
      <c r="E12" s="3"/>
      <c r="F12" s="6"/>
      <c r="G12" s="6"/>
      <c r="H12" s="6"/>
      <c r="I12" s="6"/>
    </row>
    <row r="13" spans="1:9">
      <c r="A13" s="4" t="s">
        <v>15</v>
      </c>
      <c r="B13" s="10"/>
      <c r="C13" s="10"/>
      <c r="D13" s="10"/>
      <c r="E13" s="10"/>
      <c r="F13" s="6"/>
      <c r="G13" s="6"/>
      <c r="H13" s="6"/>
      <c r="I13" s="6"/>
    </row>
    <row r="14" spans="1:9">
      <c r="A14" s="8" t="s">
        <v>16</v>
      </c>
      <c r="B14" s="3"/>
      <c r="C14" s="3"/>
      <c r="D14" s="3"/>
      <c r="E14" s="3"/>
      <c r="F14" s="6"/>
      <c r="G14" s="6"/>
      <c r="H14" s="6"/>
      <c r="I14" s="6"/>
    </row>
    <row r="15" spans="1:9">
      <c r="A15" s="8" t="s">
        <v>17</v>
      </c>
      <c r="B15" s="3"/>
      <c r="C15" s="3"/>
      <c r="D15" s="3"/>
      <c r="E15" s="3"/>
      <c r="F15" s="6"/>
      <c r="G15" s="6"/>
      <c r="H15" s="6"/>
      <c r="I15" s="6"/>
    </row>
    <row r="16" spans="1:9">
      <c r="A16" s="8" t="s">
        <v>18</v>
      </c>
      <c r="B16" s="3"/>
      <c r="C16" s="3"/>
      <c r="D16" s="3"/>
      <c r="E16" s="3"/>
      <c r="F16" s="6"/>
      <c r="G16" s="6"/>
      <c r="H16" s="6"/>
      <c r="I16" s="6"/>
    </row>
    <row r="17" spans="1:9">
      <c r="A17" s="8" t="s">
        <v>19</v>
      </c>
      <c r="B17" s="3"/>
      <c r="C17" s="3"/>
      <c r="D17" s="3"/>
      <c r="E17" s="3"/>
      <c r="F17" s="6"/>
      <c r="G17" s="6"/>
      <c r="H17" s="6"/>
      <c r="I17" s="6"/>
    </row>
    <row r="18" spans="1:9">
      <c r="A18" s="4" t="s">
        <v>20</v>
      </c>
      <c r="B18" s="7"/>
      <c r="C18" s="7"/>
      <c r="D18" s="7"/>
      <c r="E18" s="7"/>
      <c r="F18" s="6"/>
      <c r="G18" s="6"/>
      <c r="H18" s="6"/>
      <c r="I18" s="6"/>
    </row>
    <row r="19" spans="1:9">
      <c r="A19" s="4" t="s">
        <v>21</v>
      </c>
      <c r="B19" s="3" t="s">
        <v>22</v>
      </c>
      <c r="C19" s="3"/>
      <c r="D19" s="3"/>
      <c r="E19" s="3"/>
      <c r="F19" s="6"/>
      <c r="G19" s="6"/>
      <c r="H19" s="6"/>
      <c r="I19" s="6"/>
    </row>
    <row r="20" ht="39" customHeight="1" spans="1:9">
      <c r="A20" s="11" t="s">
        <v>23</v>
      </c>
      <c r="B20" s="11" t="s">
        <v>24</v>
      </c>
      <c r="C20" s="11" t="s">
        <v>24</v>
      </c>
      <c r="D20" s="11" t="s">
        <v>25</v>
      </c>
      <c r="E20" s="11" t="s">
        <v>26</v>
      </c>
      <c r="F20" s="11" t="s">
        <v>27</v>
      </c>
      <c r="G20" s="11" t="s">
        <v>28</v>
      </c>
      <c r="H20" s="11" t="s">
        <v>29</v>
      </c>
      <c r="I20" s="11" t="s">
        <v>207</v>
      </c>
    </row>
    <row r="21" ht="39" customHeight="1" spans="1:9">
      <c r="A21" s="12"/>
      <c r="B21" s="13" t="s">
        <v>208</v>
      </c>
      <c r="C21" s="13" t="s">
        <v>208</v>
      </c>
      <c r="D21" s="13" t="s">
        <v>43</v>
      </c>
      <c r="E21" s="14">
        <v>2.9</v>
      </c>
      <c r="F21" s="14">
        <v>3.2</v>
      </c>
      <c r="G21" s="12" t="s">
        <v>33</v>
      </c>
      <c r="H21" s="15">
        <v>1125</v>
      </c>
      <c r="I21" s="18">
        <v>0.0102</v>
      </c>
    </row>
    <row r="22" ht="39" customHeight="1" spans="1:9">
      <c r="A22" s="12"/>
      <c r="B22" s="13" t="s">
        <v>209</v>
      </c>
      <c r="C22" s="13" t="s">
        <v>209</v>
      </c>
      <c r="D22" s="13" t="s">
        <v>67</v>
      </c>
      <c r="E22" s="14">
        <v>3</v>
      </c>
      <c r="F22" s="14">
        <v>3.4</v>
      </c>
      <c r="G22" s="12" t="s">
        <v>40</v>
      </c>
      <c r="H22" s="15">
        <v>1059</v>
      </c>
      <c r="I22" s="18">
        <v>0.0129</v>
      </c>
    </row>
    <row r="23" ht="39" customHeight="1" spans="1:9">
      <c r="A23" s="16">
        <v>97</v>
      </c>
      <c r="B23" s="17" t="s">
        <v>210</v>
      </c>
      <c r="C23" s="17" t="s">
        <v>210</v>
      </c>
      <c r="D23" s="17" t="s">
        <v>67</v>
      </c>
      <c r="E23" s="14">
        <v>14.4</v>
      </c>
      <c r="F23" s="14">
        <v>15.9</v>
      </c>
      <c r="G23" s="12" t="s">
        <v>72</v>
      </c>
      <c r="H23" s="15">
        <v>226</v>
      </c>
      <c r="I23" s="18">
        <v>0.062</v>
      </c>
    </row>
    <row r="24" ht="39" customHeight="1" spans="1:9">
      <c r="A24" s="16">
        <v>98</v>
      </c>
      <c r="B24" s="17" t="s">
        <v>211</v>
      </c>
      <c r="C24" s="17" t="s">
        <v>211</v>
      </c>
      <c r="D24" s="17" t="s">
        <v>67</v>
      </c>
      <c r="E24" s="14">
        <v>17.4</v>
      </c>
      <c r="F24" s="14">
        <v>19.3</v>
      </c>
      <c r="G24" s="12" t="s">
        <v>77</v>
      </c>
      <c r="H24" s="15">
        <v>187</v>
      </c>
      <c r="I24" s="18">
        <v>0.0811</v>
      </c>
    </row>
    <row r="25" ht="36" spans="1:9">
      <c r="A25" s="16">
        <v>100</v>
      </c>
      <c r="B25" s="17" t="s">
        <v>212</v>
      </c>
      <c r="C25" s="17" t="s">
        <v>212</v>
      </c>
      <c r="D25" s="17" t="s">
        <v>67</v>
      </c>
      <c r="E25" s="14">
        <v>43.6</v>
      </c>
      <c r="F25" s="14">
        <v>48.9</v>
      </c>
      <c r="G25" s="12" t="s">
        <v>77</v>
      </c>
      <c r="H25" s="15">
        <v>61</v>
      </c>
      <c r="I25" s="18">
        <v>0.2053</v>
      </c>
    </row>
  </sheetData>
  <mergeCells count="20">
    <mergeCell ref="A1:I1"/>
    <mergeCell ref="A2:I2"/>
    <mergeCell ref="A3:I3"/>
    <mergeCell ref="B4:E4"/>
    <mergeCell ref="B5:E5"/>
    <mergeCell ref="B6:E6"/>
    <mergeCell ref="B7:E7"/>
    <mergeCell ref="B8:E8"/>
    <mergeCell ref="B9:E9"/>
    <mergeCell ref="B10:E10"/>
    <mergeCell ref="B11:E11"/>
    <mergeCell ref="B12:E12"/>
    <mergeCell ref="B13:E13"/>
    <mergeCell ref="B14:E14"/>
    <mergeCell ref="B15:E15"/>
    <mergeCell ref="B16:E16"/>
    <mergeCell ref="B17:E17"/>
    <mergeCell ref="B18:E18"/>
    <mergeCell ref="B19:E19"/>
    <mergeCell ref="F4:I19"/>
  </mergeCells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1412</vt:lpstr>
      <vt:lpstr>异常工序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ღ᭄秀秀໑ຼ₀₂₃</cp:lastModifiedBy>
  <dcterms:created xsi:type="dcterms:W3CDTF">2025-04-09T03:00:00Z</dcterms:created>
  <dcterms:modified xsi:type="dcterms:W3CDTF">2025-08-02T07:58:58Z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BFAC0A63E84642BBA703F6EE6423FA15_13</vt:lpwstr>
  </property>
  <property fmtid="{D5CDD505-2E9C-101B-9397-08002B2CF9AE}" pid="3" name="KSOProductBuildVer">
    <vt:lpwstr>2052-12.1.0.21915</vt:lpwstr>
  </property>
  <property fmtid="{D5CDD505-2E9C-101B-9397-08002B2CF9AE}" pid="4" name="KSOReadingLayout">
    <vt:bool>true</vt:bool>
  </property>
</Properties>
</file>