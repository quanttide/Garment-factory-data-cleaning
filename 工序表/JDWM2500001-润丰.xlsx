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JDWM2500001 (2润丰" sheetId="2" r:id="rId1"/>
    <sheet name="JDWM2500001" sheetId="1" r:id="rId2"/>
    <sheet name="Sheet1" sheetId="3" r:id="rId3"/>
  </sheets>
  <definedNames>
    <definedName name="_xlnm.Print_Titles" localSheetId="1">JDWM2500001!$1:$11</definedName>
    <definedName name="_xlnm.Print_Titles" localSheetId="0">'JDWM2500001 (2润丰'!$1:$11</definedName>
    <definedName name="_xlnm.Print_Area" localSheetId="0">'JDWM2500001 (2润丰'!$A$1:$I$56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<sst xmlns="http://schemas.openxmlformats.org/spreadsheetml/2006/main" count="380" uniqueCount="135">
  <si>
    <t>重庆尚上服饰有限公司</t>
  </si>
  <si>
    <t>款式工序表</t>
  </si>
  <si>
    <t>打印日期：2025-05-04 11:10:21</t>
  </si>
  <si>
    <t>生产制单号：</t>
  </si>
  <si>
    <t>JDWM2500101</t>
  </si>
  <si>
    <t>客　　户：</t>
  </si>
  <si>
    <t>重庆尚诚服饰有限公司</t>
  </si>
  <si>
    <t>客户款号：</t>
  </si>
  <si>
    <t>JDWM2500001</t>
  </si>
  <si>
    <t>款式描述：</t>
  </si>
  <si>
    <t>针织基础圆领衫，后领拉捆条压明线，前领圈压明边线，左侧落挂耳。</t>
  </si>
  <si>
    <t>品质标准：</t>
  </si>
  <si>
    <t>数　　量：</t>
  </si>
  <si>
    <t>车缝时间：</t>
  </si>
  <si>
    <t>车缝10H台产：</t>
  </si>
  <si>
    <t>135.491155438464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</si>
  <si>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</si>
  <si>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</si>
  <si>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</si>
  <si>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</si>
  <si>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</si>
  <si>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</si>
  <si>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</si>
  <si>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</si>
  <si>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</si>
  <si>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</si>
  <si>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</si>
  <si>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</si>
  <si>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</si>
  <si>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</si>
  <si>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</si>
  <si>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</si>
  <si>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松布0.75</t>
  </si>
  <si>
    <t>松布机</t>
  </si>
  <si>
    <t>E2</t>
  </si>
  <si>
    <t>拉面布</t>
  </si>
  <si>
    <t>拉面布*0.75</t>
  </si>
  <si>
    <t>拉布机</t>
  </si>
  <si>
    <t>E3</t>
  </si>
  <si>
    <t>裁剪面布</t>
  </si>
  <si>
    <t>裁剪面布*4</t>
  </si>
  <si>
    <t>电脑裁剪</t>
  </si>
  <si>
    <t>D4</t>
  </si>
  <si>
    <t>面布分包</t>
  </si>
  <si>
    <t>面布分包*4</t>
  </si>
  <si>
    <t>手工</t>
  </si>
  <si>
    <t>拉罗纹</t>
  </si>
  <si>
    <t>拉领螺纹布*0.04</t>
  </si>
  <si>
    <t xml:space="preserve">裁剪罗纹 </t>
  </si>
  <si>
    <t>裁剪领螺纹布*1</t>
  </si>
  <si>
    <t>领螺纹布分大包</t>
  </si>
  <si>
    <t>领螺纹布分大包*1</t>
  </si>
  <si>
    <t>验片*/配补片*4</t>
  </si>
  <si>
    <t>打编号*4</t>
  </si>
  <si>
    <t>切后领捆条*0.02</t>
  </si>
  <si>
    <t>切捆条机</t>
  </si>
  <si>
    <t>烫标/撕标*1</t>
  </si>
  <si>
    <t>烫后领主标/撕标*1</t>
  </si>
  <si>
    <t>烫标机</t>
  </si>
  <si>
    <t>烫后片印花标/撕标*1</t>
  </si>
  <si>
    <t>烫前片印花标/撕标*1</t>
  </si>
  <si>
    <t>裁片烫主标</t>
  </si>
  <si>
    <t>下裁片</t>
  </si>
  <si>
    <t>下罗纹</t>
  </si>
  <si>
    <t>2-领子</t>
  </si>
  <si>
    <t>拼接领缝</t>
  </si>
  <si>
    <t>平车拼接领缝*1</t>
  </si>
  <si>
    <t>电脑平车</t>
  </si>
  <si>
    <t>平车走领圈固定线一周（开骨）*1</t>
  </si>
  <si>
    <t>C1</t>
  </si>
  <si>
    <t>3-组合</t>
  </si>
  <si>
    <t>挂片</t>
  </si>
  <si>
    <t>挂片/补换片</t>
  </si>
  <si>
    <t>平车订挂耳</t>
  </si>
  <si>
    <t>平车折订左肩挂耳连剪断*1</t>
  </si>
  <si>
    <t xml:space="preserve"> 四线合肩*2及放透明肩带  </t>
  </si>
  <si>
    <t>四线合肩连落透明肩带*2</t>
  </si>
  <si>
    <t>电脑四线锁边车</t>
  </si>
  <si>
    <t>四线圆领机上领*1</t>
  </si>
  <si>
    <t>B1</t>
  </si>
  <si>
    <t>单针冚车压前领边线*1</t>
  </si>
  <si>
    <t>电脑单针双线冚车</t>
  </si>
  <si>
    <t>C4</t>
  </si>
  <si>
    <t xml:space="preserve"> 冚车拉后领捆条  </t>
  </si>
  <si>
    <t>冚车拉筒拉后领捆条*1（连剪）车台定位</t>
  </si>
  <si>
    <t>C3</t>
  </si>
  <si>
    <t>平车折订后领捆条两头2*1(修剪捆条）</t>
  </si>
  <si>
    <t>平车转角压后领织带明线*1</t>
  </si>
  <si>
    <t>B2</t>
  </si>
  <si>
    <t>上袖</t>
  </si>
  <si>
    <t>四线对位上开袖*2</t>
  </si>
  <si>
    <t xml:space="preserve"> 埋夹  </t>
  </si>
  <si>
    <t>四线对位合侧缝及袖底缝*2</t>
  </si>
  <si>
    <t>冚前后下摆</t>
  </si>
  <si>
    <t>三针冚车冚下摆*1</t>
  </si>
  <si>
    <t>电脑三针四线冚车</t>
  </si>
  <si>
    <t xml:space="preserve"> 冚车冚袖口*2   </t>
  </si>
  <si>
    <t>三针冚袖口明线*2</t>
  </si>
  <si>
    <t>中查</t>
  </si>
  <si>
    <t>检验</t>
  </si>
  <si>
    <t>E4</t>
  </si>
  <si>
    <t>打枣</t>
  </si>
  <si>
    <t>打侧缝、袖口枣*3</t>
  </si>
  <si>
    <t>电脑打枣车</t>
  </si>
  <si>
    <t>CC</t>
  </si>
  <si>
    <t>#平车固定领圈两端冚车线2*1</t>
  </si>
  <si>
    <t>4-尾部</t>
  </si>
  <si>
    <t>尾部收货</t>
  </si>
  <si>
    <t>大烫</t>
  </si>
  <si>
    <t>整烫（尾部）</t>
  </si>
  <si>
    <t>尾查</t>
  </si>
  <si>
    <t>检验/剪线毛</t>
  </si>
  <si>
    <t>分色分码</t>
  </si>
  <si>
    <t>E1</t>
  </si>
  <si>
    <t>分PO</t>
  </si>
  <si>
    <t>查码</t>
  </si>
  <si>
    <t>包装搬运</t>
  </si>
  <si>
    <t>打吊牌</t>
  </si>
  <si>
    <t>穿挂吊牌*1</t>
  </si>
  <si>
    <t>验针</t>
  </si>
  <si>
    <t>折叠</t>
  </si>
  <si>
    <t>单件折叠放拷贝纸*1</t>
  </si>
  <si>
    <t>单件装袋</t>
  </si>
  <si>
    <t>单件装袋自动封口连放干燥剂*1</t>
  </si>
  <si>
    <t>贴胶袋贴纸</t>
  </si>
  <si>
    <t>贴胶袋贴纸*1</t>
  </si>
  <si>
    <t>装箱前检查包装</t>
  </si>
  <si>
    <t>配比35件/箱(写箱号 贴箱贴 封箱 装箱 放天地板 封箱 称箱 放箱)</t>
  </si>
  <si>
    <t>拉箱入库/件(一次15-20箱）</t>
  </si>
  <si>
    <t>Y113</t>
  </si>
  <si>
    <t>手工清洗后背标白色印记*1</t>
  </si>
  <si>
    <t>Y114</t>
  </si>
  <si>
    <t>重新压烫后背标*1</t>
  </si>
  <si>
    <t>制表人：钱玲燕      审核：　　　    　 审批：　        批准：                          　　　　</t>
  </si>
  <si>
    <t>标准单价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</si>
</sst>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0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76" fontId="1" fillId="0" borderId="1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178" fontId="1" fillId="0" borderId="1" xfId="0" applyNumberFormat="1" applyFont="1" applyBorder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7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76" fontId="1" fillId="5" borderId="1" xfId="0" applyNumberFormat="1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49" fontId="1" fillId="0" borderId="5" xfId="0" applyNumberFormat="1" applyFont="1" applyBorder="1" applyAlignment="1">
      <alignment vertical="center" wrapText="1"/>
    </xf>
    <xf numFmtId="176" fontId="1" fillId="0" borderId="5" xfId="0" applyNumberFormat="1" applyFont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vertical="center" wrapText="1"/>
    </xf>
    <xf numFmtId="176" fontId="1" fillId="7" borderId="1" xfId="0" applyNumberFormat="1" applyFont="1" applyFill="1" applyBorder="1">
      <alignment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4" fillId="0" borderId="7" xfId="0" applyFont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177" fontId="1" fillId="3" borderId="1" xfId="0" applyNumberFormat="1" applyFont="1" applyFill="1" applyBorder="1">
      <alignment vertical="center"/>
    </xf>
    <xf numFmtId="177" fontId="1" fillId="0" borderId="1" xfId="0" applyNumberFormat="1" applyFont="1" applyFill="1" applyBorder="1">
      <alignment vertical="center"/>
    </xf>
    <xf numFmtId="177" fontId="1" fillId="0" borderId="5" xfId="0" applyNumberFormat="1" applyFont="1" applyBorder="1">
      <alignment vertical="center"/>
    </xf>
    <xf numFmtId="177" fontId="1" fillId="7" borderId="1" xfId="0" applyNumberFormat="1" applyFont="1" applyFill="1" applyBorder="1">
      <alignment vertical="center"/>
    </xf>
    <xf numFmtId="0" fontId="1" fillId="0" borderId="2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  <color rgb="00FFCCC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161925</xdr:colOff>
      <xdr:row>7</xdr:row>
      <xdr:rowOff>25400</xdr:rowOff>
    </xdr:from>
    <xdr:to>
      <xdr:col>9</xdr:col>
      <xdr:colOff>17145</xdr:colOff>
      <xdr:row>18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67400" y="1368425"/>
          <a:ext cx="1741170" cy="1866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285750</xdr:colOff>
      <xdr:row>3</xdr:row>
      <xdr:rowOff>25400</xdr:rowOff>
    </xdr:from>
    <xdr:to>
      <xdr:col>7</xdr:col>
      <xdr:colOff>454660</xdr:colOff>
      <xdr:row>18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57850" y="758825"/>
          <a:ext cx="2369185" cy="254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9</xdr:col>
      <xdr:colOff>676910</xdr:colOff>
      <xdr:row>27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6848475" cy="4743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tabSelected="1" topLeftCell="A49" workbookViewId="0">
      <selection activeCell="M78" sqref="M78"/>
    </sheetView>
  </sheetViews>
  <sheetFormatPr defaultColWidth="9" defaultRowHeight="12"/>
  <cols>
    <col min="1" max="1" width="11.125" style="1" customWidth="1"/>
    <col min="2" max="2" width="20.125" style="22" customWidth="1"/>
    <col min="3" max="3" width="4.75" style="1" customWidth="1"/>
    <col min="4" max="4" width="28.5" style="1" customWidth="1"/>
    <col min="5" max="5" width="10.375" style="1" customWidth="1"/>
    <col min="6" max="6" width="5.875" style="1" customWidth="1"/>
    <col min="7" max="7" width="7.125" style="1" customWidth="1"/>
    <col min="8" max="9" width="5.875" style="1" customWidth="1"/>
    <col min="10" max="16384" width="9" style="1"/>
  </cols>
  <sheetData>
    <row r="1" ht="25.5" spans="1:9">
      <c r="A1" s="2" t="s">
        <v>0</v>
      </c>
      <c r="B1" s="23"/>
      <c r="C1" s="2"/>
      <c r="D1" s="2"/>
      <c r="E1" s="2"/>
      <c r="F1" s="2"/>
      <c r="G1" s="2"/>
      <c r="H1" s="2"/>
      <c r="I1" s="2"/>
    </row>
    <row r="2" ht="20.25" spans="1:9">
      <c r="A2" s="3" t="s">
        <v>1</v>
      </c>
      <c r="B2" s="24"/>
      <c r="C2" s="3"/>
      <c r="D2" s="3"/>
      <c r="E2" s="3"/>
      <c r="F2" s="3"/>
      <c r="G2" s="3"/>
      <c r="H2" s="3"/>
      <c r="I2" s="3"/>
    </row>
    <row r="3" spans="1:9">
      <c r="A3" s="4" t="s">
        <v>2</v>
      </c>
      <c r="B3" s="4"/>
      <c r="C3" s="4"/>
      <c r="D3" s="4"/>
      <c r="E3" s="4"/>
      <c r="F3" s="4"/>
      <c r="G3" s="4"/>
      <c r="H3" s="4"/>
      <c r="I3" s="4"/>
    </row>
    <row r="4" spans="1:9">
      <c r="A4" s="5" t="s">
        <v>3</v>
      </c>
      <c r="B4" s="25" t="s">
        <v>4</v>
      </c>
      <c r="C4" s="26"/>
      <c r="D4" s="26"/>
      <c r="E4" s="26"/>
      <c r="F4" s="27"/>
      <c r="G4" s="7"/>
      <c r="H4" s="7"/>
      <c r="I4" s="7"/>
    </row>
    <row r="5" spans="1:9">
      <c r="A5" s="5" t="s">
        <v>5</v>
      </c>
      <c r="B5" s="28" t="s">
        <v>6</v>
      </c>
      <c r="C5" s="29"/>
      <c r="D5" s="29"/>
      <c r="E5" s="29"/>
      <c r="F5" s="30"/>
      <c r="G5" s="7"/>
      <c r="H5" s="7"/>
      <c r="I5" s="7"/>
    </row>
    <row r="6" spans="1:9">
      <c r="A6" s="5" t="s">
        <v>7</v>
      </c>
      <c r="B6" s="28" t="s">
        <v>8</v>
      </c>
      <c r="C6" s="29"/>
      <c r="D6" s="29"/>
      <c r="E6" s="29"/>
      <c r="F6" s="30"/>
      <c r="G6" s="7"/>
      <c r="H6" s="7"/>
      <c r="I6" s="7"/>
    </row>
    <row r="7" customHeight="1" spans="1:9">
      <c r="A7" s="5" t="s">
        <v>9</v>
      </c>
      <c r="B7" s="28" t="s">
        <v>10</v>
      </c>
      <c r="C7" s="29"/>
      <c r="D7" s="29"/>
      <c r="E7" s="29"/>
      <c r="F7" s="30"/>
      <c r="G7" s="7"/>
      <c r="H7" s="7"/>
      <c r="I7" s="7"/>
    </row>
    <row r="8" customHeight="1" spans="1:9">
      <c r="A8" s="5" t="s">
        <v>11</v>
      </c>
      <c r="B8" s="28"/>
      <c r="C8" s="29"/>
      <c r="D8" s="29"/>
      <c r="E8" s="29"/>
      <c r="F8" s="30"/>
      <c r="G8" s="7"/>
      <c r="H8" s="7"/>
      <c r="I8" s="7"/>
    </row>
    <row r="9" spans="1:9">
      <c r="A9" s="5" t="s">
        <v>12</v>
      </c>
      <c r="B9" s="28"/>
      <c r="C9" s="29"/>
      <c r="D9" s="29"/>
      <c r="E9" s="29"/>
      <c r="F9" s="30"/>
      <c r="G9" s="7"/>
      <c r="H9" s="7"/>
      <c r="I9" s="7"/>
    </row>
    <row r="10" spans="1:9">
      <c r="A10" s="9" t="s">
        <v>13</v>
      </c>
      <c r="B10" s="28">
        <v>265.7</v>
      </c>
      <c r="C10" s="29"/>
      <c r="D10" s="29"/>
      <c r="E10" s="29"/>
      <c r="F10" s="30"/>
      <c r="G10" s="7"/>
      <c r="H10" s="7"/>
      <c r="I10" s="7"/>
    </row>
    <row r="11" ht="24" spans="1:9">
      <c r="A11" s="9" t="s">
        <v>14</v>
      </c>
      <c r="B11" s="75" t="s">
        <v>15</v>
      </c>
      <c r="C11" s="29"/>
      <c r="D11" s="29"/>
      <c r="E11" s="29"/>
      <c r="F11" s="30"/>
      <c r="G11" s="7"/>
      <c r="H11" s="7"/>
      <c r="I11" s="7"/>
    </row>
    <row r="12" spans="1:9">
      <c r="A12" s="5" t="s">
        <v>16</v>
      </c>
      <c r="B12" s="28"/>
      <c r="C12" s="29"/>
      <c r="D12" s="29"/>
      <c r="E12" s="29"/>
      <c r="F12" s="30"/>
      <c r="G12" s="7"/>
      <c r="H12" s="7"/>
      <c r="I12" s="7"/>
    </row>
    <row r="13" spans="1:9">
      <c r="A13" s="5" t="s">
        <v>17</v>
      </c>
      <c r="B13" s="28"/>
      <c r="C13" s="29"/>
      <c r="D13" s="29"/>
      <c r="E13" s="29"/>
      <c r="F13" s="30"/>
      <c r="G13" s="7"/>
      <c r="H13" s="7"/>
      <c r="I13" s="7"/>
    </row>
    <row r="14" spans="1:9">
      <c r="A14" s="9" t="s">
        <v>18</v>
      </c>
      <c r="B14" s="28"/>
      <c r="C14" s="29"/>
      <c r="D14" s="29"/>
      <c r="E14" s="29"/>
      <c r="F14" s="30"/>
      <c r="G14" s="7"/>
      <c r="H14" s="7"/>
      <c r="I14" s="7"/>
    </row>
    <row r="15" spans="1:9">
      <c r="A15" s="9" t="s">
        <v>19</v>
      </c>
      <c r="B15" s="28"/>
      <c r="C15" s="29"/>
      <c r="D15" s="29"/>
      <c r="E15" s="29"/>
      <c r="F15" s="30"/>
      <c r="G15" s="7"/>
      <c r="H15" s="7"/>
      <c r="I15" s="7"/>
    </row>
    <row r="16" spans="1:9">
      <c r="A16" s="9" t="s">
        <v>20</v>
      </c>
      <c r="B16" s="28"/>
      <c r="C16" s="29"/>
      <c r="D16" s="29"/>
      <c r="E16" s="29"/>
      <c r="F16" s="30"/>
      <c r="G16" s="7"/>
      <c r="H16" s="7"/>
      <c r="I16" s="7"/>
    </row>
    <row r="17" spans="1:9">
      <c r="A17" s="9" t="s">
        <v>21</v>
      </c>
      <c r="B17" s="28"/>
      <c r="C17" s="29"/>
      <c r="D17" s="29"/>
      <c r="E17" s="29"/>
      <c r="F17" s="30"/>
      <c r="G17" s="7"/>
      <c r="H17" s="7"/>
      <c r="I17" s="7"/>
    </row>
    <row r="18" customHeight="1" spans="1:9">
      <c r="A18" s="5" t="s">
        <v>22</v>
      </c>
      <c r="B18" s="28"/>
      <c r="C18" s="29"/>
      <c r="D18" s="29"/>
      <c r="E18" s="29"/>
      <c r="F18" s="30"/>
      <c r="G18" s="7"/>
      <c r="H18" s="7"/>
      <c r="I18" s="7"/>
    </row>
    <row r="19" spans="1:9">
      <c r="A19" s="5" t="s">
        <v>23</v>
      </c>
      <c r="B19" s="28"/>
      <c r="C19" s="29"/>
      <c r="D19" s="29"/>
      <c r="E19" s="29"/>
      <c r="F19" s="30"/>
      <c r="G19" s="7"/>
      <c r="H19" s="7"/>
      <c r="I19" s="7"/>
    </row>
    <row r="20" ht="24" spans="1:9">
      <c r="A20" s="12" t="s">
        <v>24</v>
      </c>
      <c r="B20" s="31"/>
      <c r="C20" s="12"/>
      <c r="D20" s="12" t="s">
        <v>25</v>
      </c>
      <c r="E20" s="12" t="s">
        <v>26</v>
      </c>
      <c r="F20" s="12" t="s">
        <v>27</v>
      </c>
      <c r="G20" s="12" t="s">
        <v>28</v>
      </c>
      <c r="H20" s="12" t="s">
        <v>29</v>
      </c>
      <c r="I20" s="12" t="s">
        <v>30</v>
      </c>
    </row>
    <row r="21" spans="1:9">
      <c r="A21" s="13"/>
      <c r="B21" s="4"/>
      <c r="C21" s="7"/>
      <c r="D21" s="5" t="s">
        <v>31</v>
      </c>
      <c r="E21" s="5"/>
      <c r="F21" s="5"/>
      <c r="G21" s="5"/>
      <c r="H21" s="5"/>
      <c r="I21" s="5"/>
    </row>
    <row r="22" spans="1:9">
      <c r="A22" s="12"/>
      <c r="B22" s="4"/>
      <c r="C22" s="13">
        <v>1</v>
      </c>
      <c r="D22" s="14" t="s">
        <v>32</v>
      </c>
      <c r="E22" s="14" t="s">
        <v>33</v>
      </c>
      <c r="F22" s="15">
        <v>3.4</v>
      </c>
      <c r="G22" s="15">
        <v>3.8</v>
      </c>
      <c r="H22" s="13" t="s">
        <v>34</v>
      </c>
      <c r="I22" s="16">
        <v>947</v>
      </c>
    </row>
    <row r="23" spans="1:9">
      <c r="A23" s="13">
        <v>155</v>
      </c>
      <c r="B23" s="4" t="s">
        <v>35</v>
      </c>
      <c r="C23" s="13">
        <v>2</v>
      </c>
      <c r="D23" s="14" t="s">
        <v>36</v>
      </c>
      <c r="E23" s="14" t="s">
        <v>37</v>
      </c>
      <c r="F23" s="15">
        <v>10.4</v>
      </c>
      <c r="G23" s="15">
        <v>11.7</v>
      </c>
      <c r="H23" s="13" t="s">
        <v>38</v>
      </c>
      <c r="I23" s="16">
        <v>308</v>
      </c>
    </row>
    <row r="24" spans="1:9">
      <c r="A24" s="13">
        <v>2</v>
      </c>
      <c r="B24" s="4" t="s">
        <v>39</v>
      </c>
      <c r="C24" s="13">
        <v>3</v>
      </c>
      <c r="D24" s="14" t="s">
        <v>40</v>
      </c>
      <c r="E24" s="14" t="s">
        <v>41</v>
      </c>
      <c r="F24" s="15">
        <v>4.2</v>
      </c>
      <c r="G24" s="15">
        <v>4.2</v>
      </c>
      <c r="H24" s="13" t="s">
        <v>42</v>
      </c>
      <c r="I24" s="16">
        <v>857</v>
      </c>
    </row>
    <row r="25" spans="1:9">
      <c r="A25" s="13">
        <v>5</v>
      </c>
      <c r="B25" s="4" t="s">
        <v>43</v>
      </c>
      <c r="C25" s="13">
        <v>4</v>
      </c>
      <c r="D25" s="14" t="s">
        <v>44</v>
      </c>
      <c r="E25" s="14" t="s">
        <v>45</v>
      </c>
      <c r="F25" s="15">
        <v>4.5</v>
      </c>
      <c r="G25" s="15">
        <v>5</v>
      </c>
      <c r="H25" s="13" t="s">
        <v>34</v>
      </c>
      <c r="I25" s="16">
        <v>720</v>
      </c>
    </row>
    <row r="26" spans="1:9">
      <c r="A26" s="13">
        <v>3</v>
      </c>
      <c r="B26" s="4" t="s">
        <v>46</v>
      </c>
      <c r="C26" s="13">
        <v>5</v>
      </c>
      <c r="D26" s="14" t="s">
        <v>47</v>
      </c>
      <c r="E26" s="14" t="s">
        <v>37</v>
      </c>
      <c r="F26" s="15">
        <v>0.6</v>
      </c>
      <c r="G26" s="15">
        <v>0.7</v>
      </c>
      <c r="H26" s="13" t="s">
        <v>38</v>
      </c>
      <c r="I26" s="16">
        <v>5143</v>
      </c>
    </row>
    <row r="27" spans="1:9">
      <c r="A27" s="13">
        <v>9</v>
      </c>
      <c r="B27" s="32" t="s">
        <v>48</v>
      </c>
      <c r="C27" s="13">
        <v>6</v>
      </c>
      <c r="D27" s="14" t="s">
        <v>49</v>
      </c>
      <c r="E27" s="14" t="s">
        <v>41</v>
      </c>
      <c r="F27" s="15">
        <v>0.5</v>
      </c>
      <c r="G27" s="15">
        <v>0.5</v>
      </c>
      <c r="H27" s="13" t="s">
        <v>42</v>
      </c>
      <c r="I27" s="16">
        <v>7200</v>
      </c>
    </row>
    <row r="28" spans="1:9">
      <c r="A28" s="13">
        <v>7</v>
      </c>
      <c r="B28" s="4" t="s">
        <v>50</v>
      </c>
      <c r="C28" s="13">
        <v>7</v>
      </c>
      <c r="D28" s="14" t="s">
        <v>51</v>
      </c>
      <c r="E28" s="14" t="s">
        <v>45</v>
      </c>
      <c r="F28" s="15">
        <v>0.4</v>
      </c>
      <c r="G28" s="15">
        <v>0.5</v>
      </c>
      <c r="H28" s="13" t="s">
        <v>34</v>
      </c>
      <c r="I28" s="16">
        <v>7200</v>
      </c>
    </row>
    <row r="29" spans="1:9">
      <c r="A29" s="13">
        <v>170</v>
      </c>
      <c r="B29" s="4" t="s">
        <v>52</v>
      </c>
      <c r="C29" s="13">
        <v>8</v>
      </c>
      <c r="D29" s="14" t="s">
        <v>52</v>
      </c>
      <c r="E29" s="14" t="s">
        <v>45</v>
      </c>
      <c r="F29" s="15">
        <v>9.1</v>
      </c>
      <c r="G29" s="15">
        <v>10</v>
      </c>
      <c r="H29" s="13" t="s">
        <v>38</v>
      </c>
      <c r="I29" s="16">
        <v>360</v>
      </c>
    </row>
    <row r="30" spans="1:9">
      <c r="A30" s="13"/>
      <c r="B30" s="32"/>
      <c r="C30" s="13">
        <v>9</v>
      </c>
      <c r="D30" s="14" t="s">
        <v>53</v>
      </c>
      <c r="E30" s="14" t="s">
        <v>45</v>
      </c>
      <c r="F30" s="15">
        <v>4.8</v>
      </c>
      <c r="G30" s="15">
        <v>5.3</v>
      </c>
      <c r="H30" s="13" t="s">
        <v>34</v>
      </c>
      <c r="I30" s="16">
        <v>679</v>
      </c>
    </row>
    <row r="31" spans="1:9">
      <c r="A31" s="13"/>
      <c r="B31" s="4"/>
      <c r="C31" s="13">
        <v>10</v>
      </c>
      <c r="D31" s="14" t="s">
        <v>54</v>
      </c>
      <c r="E31" s="14" t="s">
        <v>55</v>
      </c>
      <c r="F31" s="15">
        <v>1.5</v>
      </c>
      <c r="G31" s="15">
        <v>1.7</v>
      </c>
      <c r="H31" s="13" t="s">
        <v>38</v>
      </c>
      <c r="I31" s="16">
        <v>2118</v>
      </c>
    </row>
    <row r="32" spans="1:9">
      <c r="A32" s="33">
        <v>54</v>
      </c>
      <c r="B32" s="34" t="s">
        <v>56</v>
      </c>
      <c r="C32" s="13">
        <v>11</v>
      </c>
      <c r="D32" s="14" t="s">
        <v>57</v>
      </c>
      <c r="E32" s="14" t="s">
        <v>58</v>
      </c>
      <c r="F32" s="15">
        <v>16.7</v>
      </c>
      <c r="G32" s="15">
        <v>16.7</v>
      </c>
      <c r="H32" s="13" t="s">
        <v>34</v>
      </c>
      <c r="I32" s="16">
        <v>216</v>
      </c>
    </row>
    <row r="33" spans="1:9">
      <c r="A33" s="35"/>
      <c r="B33" s="36"/>
      <c r="C33" s="13">
        <v>12</v>
      </c>
      <c r="D33" s="14" t="s">
        <v>59</v>
      </c>
      <c r="E33" s="14" t="s">
        <v>58</v>
      </c>
      <c r="F33" s="15">
        <v>31.3</v>
      </c>
      <c r="G33" s="15">
        <v>31.3</v>
      </c>
      <c r="H33" s="13" t="s">
        <v>34</v>
      </c>
      <c r="I33" s="16">
        <v>115</v>
      </c>
    </row>
    <row r="34" spans="1:9">
      <c r="A34" s="37"/>
      <c r="B34" s="38"/>
      <c r="C34" s="13">
        <v>13</v>
      </c>
      <c r="D34" s="14" t="s">
        <v>60</v>
      </c>
      <c r="E34" s="14" t="s">
        <v>58</v>
      </c>
      <c r="F34" s="15">
        <v>31.3</v>
      </c>
      <c r="G34" s="15">
        <v>31.3</v>
      </c>
      <c r="H34" s="13" t="s">
        <v>34</v>
      </c>
      <c r="I34" s="16">
        <v>115</v>
      </c>
    </row>
    <row r="35" s="19" customFormat="1" spans="1:9">
      <c r="A35" s="39">
        <v>53</v>
      </c>
      <c r="B35" s="40" t="s">
        <v>61</v>
      </c>
      <c r="C35" s="41"/>
      <c r="D35" s="42" t="s">
        <v>57</v>
      </c>
      <c r="E35" s="42" t="s">
        <v>58</v>
      </c>
      <c r="F35" s="43">
        <v>16.7</v>
      </c>
      <c r="G35" s="43">
        <v>16.7</v>
      </c>
      <c r="H35" s="41" t="s">
        <v>34</v>
      </c>
      <c r="I35" s="71">
        <v>216</v>
      </c>
    </row>
    <row r="36" spans="1:9">
      <c r="A36" s="44">
        <v>11</v>
      </c>
      <c r="B36" s="45" t="s">
        <v>62</v>
      </c>
      <c r="C36" s="13"/>
      <c r="D36" s="46" t="s">
        <v>62</v>
      </c>
      <c r="E36" s="14"/>
      <c r="F36" s="15"/>
      <c r="G36" s="15"/>
      <c r="H36" s="13"/>
      <c r="I36" s="16"/>
    </row>
    <row r="37" s="20" customFormat="1" ht="13.5" spans="1:9">
      <c r="A37" s="44">
        <v>65</v>
      </c>
      <c r="B37" s="47" t="s">
        <v>63</v>
      </c>
      <c r="C37" s="13"/>
      <c r="D37" s="46"/>
      <c r="E37" s="14"/>
      <c r="F37" s="15"/>
      <c r="G37" s="15"/>
      <c r="H37" s="13"/>
      <c r="I37" s="16"/>
    </row>
    <row r="38" s="19" customFormat="1" spans="1:9">
      <c r="A38" s="48"/>
      <c r="B38" s="49"/>
      <c r="C38" s="50"/>
      <c r="D38" s="51" t="s">
        <v>64</v>
      </c>
      <c r="E38" s="52"/>
      <c r="F38" s="52"/>
      <c r="G38" s="52"/>
      <c r="H38" s="52"/>
      <c r="I38" s="52"/>
    </row>
    <row r="39" spans="1:9">
      <c r="A39" s="53">
        <v>10</v>
      </c>
      <c r="B39" s="54" t="s">
        <v>65</v>
      </c>
      <c r="C39" s="13">
        <v>14</v>
      </c>
      <c r="D39" s="14" t="s">
        <v>66</v>
      </c>
      <c r="E39" s="14" t="s">
        <v>67</v>
      </c>
      <c r="F39" s="15">
        <v>7.5</v>
      </c>
      <c r="G39" s="15">
        <v>8.8</v>
      </c>
      <c r="H39" s="13" t="s">
        <v>42</v>
      </c>
      <c r="I39" s="16">
        <v>408</v>
      </c>
    </row>
    <row r="40" spans="1:9">
      <c r="A40" s="13"/>
      <c r="B40" s="54"/>
      <c r="C40" s="13">
        <v>15</v>
      </c>
      <c r="D40" s="14" t="s">
        <v>68</v>
      </c>
      <c r="E40" s="14" t="s">
        <v>67</v>
      </c>
      <c r="F40" s="15">
        <v>16.3</v>
      </c>
      <c r="G40" s="55">
        <v>19.4</v>
      </c>
      <c r="H40" s="13" t="s">
        <v>69</v>
      </c>
      <c r="I40" s="16">
        <v>185</v>
      </c>
    </row>
    <row r="41" spans="1:9">
      <c r="A41" s="13"/>
      <c r="B41" s="54"/>
      <c r="C41" s="7"/>
      <c r="D41" s="5" t="s">
        <v>70</v>
      </c>
      <c r="E41" s="5"/>
      <c r="F41" s="5"/>
      <c r="G41" s="5"/>
      <c r="H41" s="5"/>
      <c r="I41" s="5"/>
    </row>
    <row r="42" ht="17" customHeight="1" spans="1:9">
      <c r="A42" s="13">
        <v>27</v>
      </c>
      <c r="B42" s="54" t="s">
        <v>71</v>
      </c>
      <c r="C42" s="13">
        <v>16</v>
      </c>
      <c r="D42" s="14" t="s">
        <v>72</v>
      </c>
      <c r="E42" s="14" t="s">
        <v>45</v>
      </c>
      <c r="F42" s="15">
        <v>18.9</v>
      </c>
      <c r="G42" s="15">
        <v>20.9</v>
      </c>
      <c r="H42" s="13" t="s">
        <v>38</v>
      </c>
      <c r="I42" s="16">
        <v>172</v>
      </c>
    </row>
    <row r="43" ht="19" customHeight="1" spans="1:9">
      <c r="A43" s="13">
        <v>12</v>
      </c>
      <c r="B43" s="54" t="s">
        <v>73</v>
      </c>
      <c r="C43" s="13">
        <v>17</v>
      </c>
      <c r="D43" s="14" t="s">
        <v>74</v>
      </c>
      <c r="E43" s="14" t="s">
        <v>67</v>
      </c>
      <c r="F43" s="15">
        <v>10.9</v>
      </c>
      <c r="G43" s="15">
        <v>12.1</v>
      </c>
      <c r="H43" s="13" t="s">
        <v>42</v>
      </c>
      <c r="I43" s="16">
        <v>298</v>
      </c>
    </row>
    <row r="44" ht="24" spans="1:9">
      <c r="A44" s="13">
        <v>22</v>
      </c>
      <c r="B44" s="54" t="s">
        <v>75</v>
      </c>
      <c r="C44" s="13">
        <v>18</v>
      </c>
      <c r="D44" s="14" t="s">
        <v>76</v>
      </c>
      <c r="E44" s="14" t="s">
        <v>77</v>
      </c>
      <c r="F44" s="15">
        <v>15.3</v>
      </c>
      <c r="G44" s="15">
        <v>17.1</v>
      </c>
      <c r="H44" s="13" t="s">
        <v>42</v>
      </c>
      <c r="I44" s="16">
        <v>211</v>
      </c>
    </row>
    <row r="45" ht="24" spans="1:9">
      <c r="A45" s="13">
        <v>28</v>
      </c>
      <c r="B45" s="54" t="s">
        <v>78</v>
      </c>
      <c r="C45" s="13">
        <v>19</v>
      </c>
      <c r="D45" s="14" t="s">
        <v>78</v>
      </c>
      <c r="E45" s="14" t="s">
        <v>77</v>
      </c>
      <c r="F45" s="15">
        <v>19.3</v>
      </c>
      <c r="G45" s="15">
        <v>22.7</v>
      </c>
      <c r="H45" s="13" t="s">
        <v>79</v>
      </c>
      <c r="I45" s="16">
        <v>159</v>
      </c>
    </row>
    <row r="46" s="19" customFormat="1" ht="24" spans="1:9">
      <c r="A46" s="56">
        <v>40</v>
      </c>
      <c r="B46" s="54" t="s">
        <v>80</v>
      </c>
      <c r="C46" s="56">
        <v>20</v>
      </c>
      <c r="D46" s="57" t="s">
        <v>80</v>
      </c>
      <c r="E46" s="57" t="s">
        <v>81</v>
      </c>
      <c r="F46" s="58">
        <v>14.2</v>
      </c>
      <c r="G46" s="58">
        <v>15.9</v>
      </c>
      <c r="H46" s="56" t="s">
        <v>82</v>
      </c>
      <c r="I46" s="72">
        <v>226</v>
      </c>
    </row>
    <row r="47" ht="24" spans="1:9">
      <c r="A47" s="44">
        <v>43</v>
      </c>
      <c r="B47" s="54" t="s">
        <v>83</v>
      </c>
      <c r="C47" s="13">
        <v>21</v>
      </c>
      <c r="D47" s="14" t="s">
        <v>84</v>
      </c>
      <c r="E47" s="14" t="s">
        <v>81</v>
      </c>
      <c r="F47" s="15">
        <v>15.1</v>
      </c>
      <c r="G47" s="15">
        <v>16.8</v>
      </c>
      <c r="H47" s="13" t="s">
        <v>85</v>
      </c>
      <c r="I47" s="16">
        <v>214</v>
      </c>
    </row>
    <row r="48" ht="21" customHeight="1" spans="1:9">
      <c r="A48" s="13">
        <v>41</v>
      </c>
      <c r="B48" s="54" t="s">
        <v>86</v>
      </c>
      <c r="C48" s="13">
        <v>22</v>
      </c>
      <c r="D48" s="14" t="s">
        <v>86</v>
      </c>
      <c r="E48" s="14" t="s">
        <v>67</v>
      </c>
      <c r="F48" s="15">
        <v>13.9</v>
      </c>
      <c r="G48" s="15">
        <v>15.3</v>
      </c>
      <c r="H48" s="13" t="s">
        <v>82</v>
      </c>
      <c r="I48" s="16">
        <v>235</v>
      </c>
    </row>
    <row r="49" ht="24" customHeight="1" spans="1:9">
      <c r="A49" s="13">
        <v>42</v>
      </c>
      <c r="B49" s="54" t="s">
        <v>87</v>
      </c>
      <c r="C49" s="13">
        <v>23</v>
      </c>
      <c r="D49" s="14" t="s">
        <v>87</v>
      </c>
      <c r="E49" s="14" t="s">
        <v>67</v>
      </c>
      <c r="F49" s="15">
        <v>18.5</v>
      </c>
      <c r="G49" s="15">
        <v>20.8</v>
      </c>
      <c r="H49" s="13" t="s">
        <v>88</v>
      </c>
      <c r="I49" s="16">
        <v>173</v>
      </c>
    </row>
    <row r="50" ht="24" spans="1:9">
      <c r="A50" s="13">
        <v>38</v>
      </c>
      <c r="B50" s="54" t="s">
        <v>89</v>
      </c>
      <c r="C50" s="13">
        <v>24</v>
      </c>
      <c r="D50" s="14" t="s">
        <v>90</v>
      </c>
      <c r="E50" s="14" t="s">
        <v>77</v>
      </c>
      <c r="F50" s="15">
        <v>29</v>
      </c>
      <c r="G50" s="15">
        <v>32.6</v>
      </c>
      <c r="H50" s="13" t="s">
        <v>82</v>
      </c>
      <c r="I50" s="16">
        <v>110</v>
      </c>
    </row>
    <row r="51" ht="24" spans="1:9">
      <c r="A51" s="13">
        <v>32</v>
      </c>
      <c r="B51" s="59" t="s">
        <v>91</v>
      </c>
      <c r="C51" s="13">
        <v>25</v>
      </c>
      <c r="D51" s="14" t="s">
        <v>92</v>
      </c>
      <c r="E51" s="14" t="s">
        <v>77</v>
      </c>
      <c r="F51" s="15">
        <v>34.1</v>
      </c>
      <c r="G51" s="15">
        <v>38.1</v>
      </c>
      <c r="H51" s="13" t="s">
        <v>82</v>
      </c>
      <c r="I51" s="16">
        <v>94</v>
      </c>
    </row>
    <row r="52" ht="24" spans="1:9">
      <c r="A52" s="13">
        <v>24</v>
      </c>
      <c r="B52" s="59" t="s">
        <v>93</v>
      </c>
      <c r="C52" s="13">
        <v>26</v>
      </c>
      <c r="D52" s="14" t="s">
        <v>94</v>
      </c>
      <c r="E52" s="14" t="s">
        <v>95</v>
      </c>
      <c r="F52" s="15">
        <v>20</v>
      </c>
      <c r="G52" s="15">
        <v>22.7</v>
      </c>
      <c r="H52" s="13" t="s">
        <v>79</v>
      </c>
      <c r="I52" s="16">
        <v>159</v>
      </c>
    </row>
    <row r="53" ht="24" customHeight="1" spans="1:9">
      <c r="A53" s="13">
        <v>29</v>
      </c>
      <c r="B53" s="59" t="s">
        <v>96</v>
      </c>
      <c r="C53" s="13">
        <v>27</v>
      </c>
      <c r="D53" s="14" t="s">
        <v>97</v>
      </c>
      <c r="E53" s="14" t="s">
        <v>95</v>
      </c>
      <c r="F53" s="15">
        <v>20.7</v>
      </c>
      <c r="G53" s="15">
        <v>23.4</v>
      </c>
      <c r="H53" s="13" t="s">
        <v>79</v>
      </c>
      <c r="I53" s="16">
        <v>154</v>
      </c>
    </row>
    <row r="54" customHeight="1" spans="1:9">
      <c r="A54" s="60">
        <v>120</v>
      </c>
      <c r="B54" s="61" t="s">
        <v>98</v>
      </c>
      <c r="C54" s="33">
        <v>28</v>
      </c>
      <c r="D54" s="62" t="s">
        <v>99</v>
      </c>
      <c r="E54" s="62" t="s">
        <v>45</v>
      </c>
      <c r="F54" s="63">
        <v>23.4</v>
      </c>
      <c r="G54" s="63">
        <v>25.9</v>
      </c>
      <c r="H54" s="33" t="s">
        <v>100</v>
      </c>
      <c r="I54" s="73">
        <v>139</v>
      </c>
    </row>
    <row r="55" s="21" customFormat="1" spans="1:9">
      <c r="A55" s="60">
        <v>35</v>
      </c>
      <c r="B55" s="54" t="s">
        <v>101</v>
      </c>
      <c r="C55" s="64">
        <v>44</v>
      </c>
      <c r="D55" s="65" t="s">
        <v>102</v>
      </c>
      <c r="E55" s="65" t="s">
        <v>103</v>
      </c>
      <c r="F55" s="66">
        <v>13.6</v>
      </c>
      <c r="G55" s="66">
        <v>15.1</v>
      </c>
      <c r="H55" s="64" t="s">
        <v>104</v>
      </c>
      <c r="I55" s="74">
        <v>238</v>
      </c>
    </row>
    <row r="56" ht="24" customHeight="1" spans="1:9">
      <c r="A56" s="67"/>
      <c r="B56" s="54"/>
      <c r="C56" s="41">
        <v>43</v>
      </c>
      <c r="D56" s="42" t="s">
        <v>105</v>
      </c>
      <c r="E56" s="42" t="s">
        <v>67</v>
      </c>
      <c r="F56" s="43">
        <v>11.2</v>
      </c>
      <c r="G56" s="43">
        <v>12.4</v>
      </c>
      <c r="H56" s="41" t="s">
        <v>42</v>
      </c>
      <c r="I56" s="71">
        <v>290</v>
      </c>
    </row>
    <row r="57" spans="1:9">
      <c r="A57" s="13"/>
      <c r="B57" s="54"/>
      <c r="C57" s="68"/>
      <c r="D57" s="69" t="s">
        <v>106</v>
      </c>
      <c r="E57" s="69"/>
      <c r="F57" s="69"/>
      <c r="G57" s="69"/>
      <c r="H57" s="69"/>
      <c r="I57" s="69"/>
    </row>
    <row r="58" spans="1:9">
      <c r="A58" s="44">
        <v>126</v>
      </c>
      <c r="B58" s="70" t="s">
        <v>107</v>
      </c>
      <c r="C58" s="68"/>
      <c r="D58" s="69"/>
      <c r="E58" s="69"/>
      <c r="F58" s="69"/>
      <c r="G58" s="69"/>
      <c r="H58" s="69"/>
      <c r="I58" s="69"/>
    </row>
    <row r="59" spans="1:9">
      <c r="A59" s="44">
        <v>103</v>
      </c>
      <c r="B59" s="70" t="s">
        <v>108</v>
      </c>
      <c r="C59" s="13">
        <v>29</v>
      </c>
      <c r="D59" s="14" t="s">
        <v>108</v>
      </c>
      <c r="E59" s="14" t="s">
        <v>109</v>
      </c>
      <c r="F59" s="15">
        <v>30.8</v>
      </c>
      <c r="G59" s="15">
        <v>34.7</v>
      </c>
      <c r="H59" s="13" t="s">
        <v>79</v>
      </c>
      <c r="I59" s="16">
        <v>104</v>
      </c>
    </row>
    <row r="60" spans="1:9">
      <c r="A60" s="13">
        <v>105</v>
      </c>
      <c r="B60" s="4" t="s">
        <v>110</v>
      </c>
      <c r="C60" s="13">
        <v>30</v>
      </c>
      <c r="D60" s="14" t="s">
        <v>111</v>
      </c>
      <c r="E60" s="14" t="s">
        <v>45</v>
      </c>
      <c r="F60" s="15">
        <v>29.3</v>
      </c>
      <c r="G60" s="15">
        <v>32.4</v>
      </c>
      <c r="H60" s="13" t="s">
        <v>100</v>
      </c>
      <c r="I60" s="16">
        <v>111</v>
      </c>
    </row>
    <row r="61" spans="1:9">
      <c r="A61" s="56">
        <v>104</v>
      </c>
      <c r="B61" s="4" t="s">
        <v>112</v>
      </c>
      <c r="C61" s="13">
        <v>31</v>
      </c>
      <c r="D61" s="14" t="s">
        <v>112</v>
      </c>
      <c r="E61" s="14" t="s">
        <v>45</v>
      </c>
      <c r="F61" s="15">
        <v>5.9</v>
      </c>
      <c r="G61" s="15">
        <v>6.5</v>
      </c>
      <c r="H61" s="13" t="s">
        <v>113</v>
      </c>
      <c r="I61" s="16">
        <v>554</v>
      </c>
    </row>
    <row r="62" spans="1:9">
      <c r="A62" s="13"/>
      <c r="B62" s="4"/>
      <c r="C62" s="13">
        <v>32</v>
      </c>
      <c r="D62" s="14" t="s">
        <v>114</v>
      </c>
      <c r="E62" s="14" t="s">
        <v>45</v>
      </c>
      <c r="F62" s="15">
        <v>2.9</v>
      </c>
      <c r="G62" s="15">
        <v>3.2</v>
      </c>
      <c r="H62" s="13" t="s">
        <v>113</v>
      </c>
      <c r="I62" s="16">
        <v>1125</v>
      </c>
    </row>
    <row r="63" spans="1:9">
      <c r="A63" s="13">
        <v>172</v>
      </c>
      <c r="B63" s="4" t="s">
        <v>115</v>
      </c>
      <c r="C63" s="13">
        <v>33</v>
      </c>
      <c r="D63" s="14" t="s">
        <v>115</v>
      </c>
      <c r="E63" s="14" t="s">
        <v>45</v>
      </c>
      <c r="F63" s="15">
        <v>3.7</v>
      </c>
      <c r="G63" s="15">
        <v>4.1</v>
      </c>
      <c r="H63" s="13" t="s">
        <v>113</v>
      </c>
      <c r="I63" s="16">
        <v>878</v>
      </c>
    </row>
    <row r="64" spans="1:9">
      <c r="A64" s="13">
        <v>140</v>
      </c>
      <c r="B64" s="4" t="s">
        <v>116</v>
      </c>
      <c r="C64" s="13">
        <v>34</v>
      </c>
      <c r="D64" s="14" t="s">
        <v>116</v>
      </c>
      <c r="E64" s="14" t="s">
        <v>45</v>
      </c>
      <c r="F64" s="15">
        <v>2.9</v>
      </c>
      <c r="G64" s="15">
        <v>3.2</v>
      </c>
      <c r="H64" s="13" t="s">
        <v>113</v>
      </c>
      <c r="I64" s="16">
        <v>1125</v>
      </c>
    </row>
    <row r="65" spans="1:9">
      <c r="A65" s="13">
        <v>107</v>
      </c>
      <c r="B65" s="4" t="s">
        <v>117</v>
      </c>
      <c r="C65" s="13">
        <v>35</v>
      </c>
      <c r="D65" s="14" t="s">
        <v>118</v>
      </c>
      <c r="E65" s="14" t="s">
        <v>45</v>
      </c>
      <c r="F65" s="15">
        <v>10.3</v>
      </c>
      <c r="G65" s="15">
        <v>11.3</v>
      </c>
      <c r="H65" s="13" t="s">
        <v>113</v>
      </c>
      <c r="I65" s="16">
        <v>319</v>
      </c>
    </row>
    <row r="66" spans="1:9">
      <c r="A66" s="13">
        <v>102</v>
      </c>
      <c r="B66" s="4" t="s">
        <v>119</v>
      </c>
      <c r="C66" s="13">
        <v>36</v>
      </c>
      <c r="D66" s="14" t="s">
        <v>119</v>
      </c>
      <c r="E66" s="14" t="s">
        <v>45</v>
      </c>
      <c r="F66" s="15">
        <v>3.8</v>
      </c>
      <c r="G66" s="15">
        <v>4.2</v>
      </c>
      <c r="H66" s="13" t="s">
        <v>113</v>
      </c>
      <c r="I66" s="16">
        <v>857</v>
      </c>
    </row>
    <row r="67" spans="1:9">
      <c r="A67" s="13">
        <v>154</v>
      </c>
      <c r="B67" s="4" t="s">
        <v>120</v>
      </c>
      <c r="C67" s="13">
        <v>37</v>
      </c>
      <c r="D67" s="14" t="s">
        <v>121</v>
      </c>
      <c r="E67" s="14" t="s">
        <v>45</v>
      </c>
      <c r="F67" s="15">
        <v>23.4</v>
      </c>
      <c r="G67" s="15">
        <v>25.8</v>
      </c>
      <c r="H67" s="13" t="s">
        <v>113</v>
      </c>
      <c r="I67" s="16">
        <v>140</v>
      </c>
    </row>
    <row r="68" spans="1:9">
      <c r="A68" s="13">
        <v>121</v>
      </c>
      <c r="B68" s="4" t="s">
        <v>122</v>
      </c>
      <c r="C68" s="13">
        <v>38</v>
      </c>
      <c r="D68" s="14" t="s">
        <v>123</v>
      </c>
      <c r="E68" s="14" t="s">
        <v>45</v>
      </c>
      <c r="F68" s="15">
        <v>12.6</v>
      </c>
      <c r="G68" s="15">
        <v>13.9</v>
      </c>
      <c r="H68" s="13" t="s">
        <v>113</v>
      </c>
      <c r="I68" s="16">
        <v>259</v>
      </c>
    </row>
    <row r="69" spans="1:9">
      <c r="A69" s="56">
        <v>61</v>
      </c>
      <c r="B69" s="4" t="s">
        <v>124</v>
      </c>
      <c r="C69" s="13">
        <v>39</v>
      </c>
      <c r="D69" s="14" t="s">
        <v>125</v>
      </c>
      <c r="E69" s="14" t="s">
        <v>45</v>
      </c>
      <c r="F69" s="15">
        <v>5.8</v>
      </c>
      <c r="G69" s="15">
        <v>6.4</v>
      </c>
      <c r="H69" s="13" t="s">
        <v>113</v>
      </c>
      <c r="I69" s="16">
        <v>563</v>
      </c>
    </row>
    <row r="70" spans="1:9">
      <c r="A70" s="13">
        <v>152</v>
      </c>
      <c r="B70" s="4" t="s">
        <v>126</v>
      </c>
      <c r="C70" s="13">
        <v>40</v>
      </c>
      <c r="D70" s="14" t="s">
        <v>126</v>
      </c>
      <c r="E70" s="14" t="s">
        <v>45</v>
      </c>
      <c r="F70" s="15">
        <v>1.4</v>
      </c>
      <c r="G70" s="15">
        <v>1.6</v>
      </c>
      <c r="H70" s="13" t="s">
        <v>113</v>
      </c>
      <c r="I70" s="16">
        <v>2250</v>
      </c>
    </row>
    <row r="71" ht="24" spans="1:9">
      <c r="A71" s="13"/>
      <c r="B71" s="4"/>
      <c r="C71" s="13">
        <v>41</v>
      </c>
      <c r="D71" s="14" t="s">
        <v>127</v>
      </c>
      <c r="E71" s="14" t="s">
        <v>45</v>
      </c>
      <c r="F71" s="15">
        <v>10.4</v>
      </c>
      <c r="G71" s="15">
        <v>11.5</v>
      </c>
      <c r="H71" s="13" t="s">
        <v>113</v>
      </c>
      <c r="I71" s="16">
        <v>313</v>
      </c>
    </row>
    <row r="72" spans="1:9">
      <c r="A72" s="13"/>
      <c r="B72" s="4"/>
      <c r="C72" s="13">
        <v>42</v>
      </c>
      <c r="D72" s="14" t="s">
        <v>128</v>
      </c>
      <c r="E72" s="14" t="s">
        <v>45</v>
      </c>
      <c r="F72" s="15">
        <v>0.9</v>
      </c>
      <c r="G72" s="15">
        <v>1</v>
      </c>
      <c r="H72" s="13" t="s">
        <v>113</v>
      </c>
      <c r="I72" s="16">
        <v>3600</v>
      </c>
    </row>
    <row r="73" spans="1:9">
      <c r="A73" s="13"/>
      <c r="B73" s="4"/>
      <c r="C73" s="13" t="s">
        <v>129</v>
      </c>
      <c r="D73" s="14" t="s">
        <v>130</v>
      </c>
      <c r="E73" s="14" t="s">
        <v>45</v>
      </c>
      <c r="F73" s="15"/>
      <c r="G73" s="15">
        <v>240</v>
      </c>
      <c r="H73" s="13" t="s">
        <v>113</v>
      </c>
      <c r="I73" s="16">
        <v>15</v>
      </c>
    </row>
    <row r="74" spans="1:9">
      <c r="A74" s="13"/>
      <c r="B74" s="4"/>
      <c r="C74" s="13" t="s">
        <v>131</v>
      </c>
      <c r="D74" s="14" t="s">
        <v>132</v>
      </c>
      <c r="E74" s="14" t="s">
        <v>58</v>
      </c>
      <c r="F74" s="15"/>
      <c r="G74" s="15">
        <v>45</v>
      </c>
      <c r="H74" s="13" t="s">
        <v>113</v>
      </c>
      <c r="I74" s="16">
        <v>80</v>
      </c>
    </row>
    <row r="76" spans="1:1">
      <c r="A76" s="1" t="s">
        <v>133</v>
      </c>
    </row>
  </sheetData>
  <mergeCells count="25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76:I76"/>
    <mergeCell ref="A77:I77"/>
    <mergeCell ref="A32:A34"/>
    <mergeCell ref="A55:A56"/>
    <mergeCell ref="B32:B34"/>
    <mergeCell ref="G4:I19"/>
  </mergeCells>
  <conditionalFormatting sqref="A21:A74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A21:A32 A36:A55 A57:A74">
    <cfRule type="duplicateValues" dxfId="0" priority="5"/>
  </conditionalFormatting>
  <printOptions horizontalCentered="1"/>
  <pageMargins left="0.0791666666666667" right="0.0791666666666667" top="0.396527777777778" bottom="0.396527777777778" header="0.197916666666667" footer="0.197916666666667"/>
  <pageSetup paperSize="9" scale="90" orientation="portrait"/>
  <headerFooter>
    <oddFooter>&amp;R&amp;D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69"/>
  <sheetViews>
    <sheetView topLeftCell="A40" workbookViewId="0">
      <selection activeCell="G42" sqref="G42"/>
    </sheetView>
  </sheetViews>
  <sheetFormatPr defaultColWidth="9" defaultRowHeight="12"/>
  <cols>
    <col min="1" max="1" width="9.625" style="1" customWidth="1"/>
    <col min="2" max="2" width="40.625" style="1" customWidth="1"/>
    <col min="3" max="3" width="10.625" style="1" customWidth="1"/>
    <col min="4" max="8" width="9.625" style="1" customWidth="1"/>
    <col min="9" max="98" width="9" style="1"/>
    <col min="99" max="99" width="59.625" style="1" customWidth="1"/>
    <col min="100" max="16384" width="9" style="1"/>
  </cols>
  <sheetData>
    <row r="1" ht="25.5" spans="1:8">
      <c r="A1" s="2" t="s">
        <v>0</v>
      </c>
      <c r="B1" s="2"/>
      <c r="C1" s="2"/>
      <c r="D1" s="2"/>
      <c r="E1" s="2"/>
      <c r="F1" s="2"/>
      <c r="G1" s="2"/>
      <c r="H1" s="2"/>
    </row>
    <row r="2" ht="20.25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4" t="s">
        <v>2</v>
      </c>
      <c r="B3" s="4"/>
      <c r="C3" s="4"/>
      <c r="D3" s="4"/>
      <c r="E3" s="4"/>
      <c r="F3" s="4"/>
      <c r="G3" s="4"/>
      <c r="H3" s="4"/>
    </row>
    <row r="4" spans="1:8">
      <c r="A4" s="5" t="s">
        <v>3</v>
      </c>
      <c r="B4" s="6" t="s">
        <v>8</v>
      </c>
      <c r="C4" s="6"/>
      <c r="D4" s="6"/>
      <c r="E4" s="7"/>
      <c r="F4" s="7"/>
      <c r="G4" s="7"/>
      <c r="H4" s="7"/>
    </row>
    <row r="5" spans="1:8">
      <c r="A5" s="5" t="s">
        <v>5</v>
      </c>
      <c r="B5" s="4" t="s">
        <v>6</v>
      </c>
      <c r="C5" s="4"/>
      <c r="D5" s="4"/>
      <c r="E5" s="7"/>
      <c r="F5" s="7"/>
      <c r="G5" s="7"/>
      <c r="H5" s="7"/>
    </row>
    <row r="6" spans="1:8">
      <c r="A6" s="5" t="s">
        <v>7</v>
      </c>
      <c r="B6" s="6" t="s">
        <v>8</v>
      </c>
      <c r="C6" s="6"/>
      <c r="D6" s="6"/>
      <c r="E6" s="7"/>
      <c r="F6" s="7"/>
      <c r="G6" s="7"/>
      <c r="H6" s="7"/>
    </row>
    <row r="7" customHeight="1" spans="1:99">
      <c r="A7" s="5" t="s">
        <v>9</v>
      </c>
      <c r="B7" s="8" t="s">
        <v>10</v>
      </c>
      <c r="C7" s="8"/>
      <c r="D7" s="8"/>
      <c r="E7" s="7"/>
      <c r="F7" s="7"/>
      <c r="G7" s="7"/>
      <c r="H7" s="7"/>
      <c r="CU7" s="18"/>
    </row>
    <row r="8" customHeight="1" spans="1:99">
      <c r="A8" s="5" t="s">
        <v>11</v>
      </c>
      <c r="B8" s="8"/>
      <c r="C8" s="8"/>
      <c r="D8" s="8"/>
      <c r="E8" s="7"/>
      <c r="F8" s="7"/>
      <c r="G8" s="7"/>
      <c r="H8" s="7"/>
      <c r="CU8" s="18"/>
    </row>
    <row r="9" spans="1:8">
      <c r="A9" s="5" t="s">
        <v>12</v>
      </c>
      <c r="B9" s="4"/>
      <c r="C9" s="4"/>
      <c r="D9" s="4"/>
      <c r="E9" s="7"/>
      <c r="F9" s="7"/>
      <c r="G9" s="7"/>
      <c r="H9" s="7"/>
    </row>
    <row r="10" spans="1:8">
      <c r="A10" s="9" t="s">
        <v>13</v>
      </c>
      <c r="B10" s="4">
        <f>SUM(E36:E37,E40:E50)</f>
        <v>265.7</v>
      </c>
      <c r="C10" s="4"/>
      <c r="D10" s="4"/>
      <c r="E10" s="7"/>
      <c r="F10" s="7"/>
      <c r="G10" s="7"/>
      <c r="H10" s="7"/>
    </row>
    <row r="11" ht="24" spans="1:8">
      <c r="A11" s="9" t="s">
        <v>14</v>
      </c>
      <c r="B11" s="10">
        <f>36000/B10</f>
        <v>135.491155438464</v>
      </c>
      <c r="C11" s="10"/>
      <c r="D11" s="10"/>
      <c r="E11" s="7"/>
      <c r="F11" s="7"/>
      <c r="G11" s="7"/>
      <c r="H11" s="7"/>
    </row>
    <row r="12" spans="1:8">
      <c r="A12" s="5" t="s">
        <v>16</v>
      </c>
      <c r="B12" s="4"/>
      <c r="C12" s="4"/>
      <c r="D12" s="4"/>
      <c r="E12" s="7"/>
      <c r="F12" s="7"/>
      <c r="G12" s="7"/>
      <c r="H12" s="7"/>
    </row>
    <row r="13" spans="1:8">
      <c r="A13" s="5" t="s">
        <v>17</v>
      </c>
      <c r="B13" s="11"/>
      <c r="C13" s="11"/>
      <c r="D13" s="11"/>
      <c r="E13" s="7"/>
      <c r="F13" s="7"/>
      <c r="G13" s="7"/>
      <c r="H13" s="7"/>
    </row>
    <row r="14" spans="1:8">
      <c r="A14" s="9" t="s">
        <v>18</v>
      </c>
      <c r="B14" s="4"/>
      <c r="C14" s="4"/>
      <c r="D14" s="4"/>
      <c r="E14" s="7"/>
      <c r="F14" s="7"/>
      <c r="G14" s="7"/>
      <c r="H14" s="7"/>
    </row>
    <row r="15" spans="1:8">
      <c r="A15" s="9" t="s">
        <v>19</v>
      </c>
      <c r="B15" s="4"/>
      <c r="C15" s="4"/>
      <c r="D15" s="4"/>
      <c r="E15" s="7"/>
      <c r="F15" s="7"/>
      <c r="G15" s="7"/>
      <c r="H15" s="7"/>
    </row>
    <row r="16" spans="1:8">
      <c r="A16" s="9" t="s">
        <v>20</v>
      </c>
      <c r="B16" s="4"/>
      <c r="C16" s="4"/>
      <c r="D16" s="4"/>
      <c r="E16" s="7"/>
      <c r="F16" s="7"/>
      <c r="G16" s="7"/>
      <c r="H16" s="7"/>
    </row>
    <row r="17" spans="1:8">
      <c r="A17" s="9" t="s">
        <v>21</v>
      </c>
      <c r="B17" s="4"/>
      <c r="C17" s="4"/>
      <c r="D17" s="4"/>
      <c r="E17" s="7"/>
      <c r="F17" s="7"/>
      <c r="G17" s="7"/>
      <c r="H17" s="7"/>
    </row>
    <row r="18" customHeight="1" spans="1:99">
      <c r="A18" s="5" t="s">
        <v>22</v>
      </c>
      <c r="B18" s="8"/>
      <c r="C18" s="8"/>
      <c r="D18" s="8"/>
      <c r="E18" s="7"/>
      <c r="F18" s="7"/>
      <c r="G18" s="7"/>
      <c r="H18" s="7"/>
      <c r="CU18" s="18"/>
    </row>
    <row r="19" spans="1:8">
      <c r="A19" s="5" t="s">
        <v>23</v>
      </c>
      <c r="B19" s="4"/>
      <c r="C19" s="4"/>
      <c r="D19" s="4"/>
      <c r="E19" s="7"/>
      <c r="F19" s="7"/>
      <c r="G19" s="7"/>
      <c r="H19" s="7"/>
    </row>
    <row r="20" spans="1:8">
      <c r="A20" s="12" t="s">
        <v>24</v>
      </c>
      <c r="B20" s="12" t="s">
        <v>25</v>
      </c>
      <c r="C20" s="12" t="s">
        <v>26</v>
      </c>
      <c r="D20" s="12" t="s">
        <v>27</v>
      </c>
      <c r="E20" s="12" t="s">
        <v>28</v>
      </c>
      <c r="F20" s="12" t="s">
        <v>29</v>
      </c>
      <c r="G20" s="12" t="s">
        <v>30</v>
      </c>
      <c r="H20" s="12" t="s">
        <v>134</v>
      </c>
    </row>
    <row r="21" spans="1:8">
      <c r="A21" s="7"/>
      <c r="B21" s="5" t="s">
        <v>31</v>
      </c>
      <c r="C21" s="5"/>
      <c r="D21" s="5"/>
      <c r="E21" s="5"/>
      <c r="F21" s="5"/>
      <c r="G21" s="5"/>
      <c r="H21" s="5"/>
    </row>
    <row r="22" spans="1:8">
      <c r="A22" s="13">
        <v>1</v>
      </c>
      <c r="B22" s="14" t="s">
        <v>32</v>
      </c>
      <c r="C22" s="14" t="s">
        <v>33</v>
      </c>
      <c r="D22" s="15">
        <v>3.4</v>
      </c>
      <c r="E22" s="15">
        <v>3.8</v>
      </c>
      <c r="F22" s="13" t="s">
        <v>34</v>
      </c>
      <c r="G22" s="16">
        <v>947</v>
      </c>
      <c r="H22" s="17">
        <v>0.0122</v>
      </c>
    </row>
    <row r="23" spans="1:8">
      <c r="A23" s="13">
        <v>2</v>
      </c>
      <c r="B23" s="14" t="s">
        <v>36</v>
      </c>
      <c r="C23" s="14" t="s">
        <v>37</v>
      </c>
      <c r="D23" s="15">
        <v>10.4</v>
      </c>
      <c r="E23" s="15">
        <v>11.7</v>
      </c>
      <c r="F23" s="13" t="s">
        <v>38</v>
      </c>
      <c r="G23" s="16">
        <v>308</v>
      </c>
      <c r="H23" s="17">
        <v>0.0386</v>
      </c>
    </row>
    <row r="24" spans="1:8">
      <c r="A24" s="13">
        <v>3</v>
      </c>
      <c r="B24" s="14" t="s">
        <v>40</v>
      </c>
      <c r="C24" s="14" t="s">
        <v>41</v>
      </c>
      <c r="D24" s="15">
        <v>4.2</v>
      </c>
      <c r="E24" s="15">
        <v>4.2</v>
      </c>
      <c r="F24" s="13" t="s">
        <v>42</v>
      </c>
      <c r="G24" s="16">
        <v>857</v>
      </c>
      <c r="H24" s="17">
        <v>0.016</v>
      </c>
    </row>
    <row r="25" spans="1:8">
      <c r="A25" s="13">
        <v>4</v>
      </c>
      <c r="B25" s="14" t="s">
        <v>44</v>
      </c>
      <c r="C25" s="14" t="s">
        <v>45</v>
      </c>
      <c r="D25" s="15">
        <v>4.5</v>
      </c>
      <c r="E25" s="15">
        <v>5</v>
      </c>
      <c r="F25" s="13" t="s">
        <v>34</v>
      </c>
      <c r="G25" s="16">
        <v>720</v>
      </c>
      <c r="H25" s="17">
        <v>0.016</v>
      </c>
    </row>
    <row r="26" spans="1:8">
      <c r="A26" s="13">
        <v>5</v>
      </c>
      <c r="B26" s="14" t="s">
        <v>47</v>
      </c>
      <c r="C26" s="14" t="s">
        <v>37</v>
      </c>
      <c r="D26" s="15">
        <v>0.6</v>
      </c>
      <c r="E26" s="15">
        <v>0.7</v>
      </c>
      <c r="F26" s="13" t="s">
        <v>38</v>
      </c>
      <c r="G26" s="16">
        <v>5143</v>
      </c>
      <c r="H26" s="17">
        <v>0.0023</v>
      </c>
    </row>
    <row r="27" spans="1:8">
      <c r="A27" s="13">
        <v>6</v>
      </c>
      <c r="B27" s="14" t="s">
        <v>49</v>
      </c>
      <c r="C27" s="14" t="s">
        <v>41</v>
      </c>
      <c r="D27" s="15">
        <v>0.5</v>
      </c>
      <c r="E27" s="15">
        <v>0.5</v>
      </c>
      <c r="F27" s="13" t="s">
        <v>42</v>
      </c>
      <c r="G27" s="16">
        <v>7200</v>
      </c>
      <c r="H27" s="17">
        <v>0.0019</v>
      </c>
    </row>
    <row r="28" spans="1:8">
      <c r="A28" s="13">
        <v>7</v>
      </c>
      <c r="B28" s="14" t="s">
        <v>51</v>
      </c>
      <c r="C28" s="14" t="s">
        <v>45</v>
      </c>
      <c r="D28" s="15">
        <v>0.4</v>
      </c>
      <c r="E28" s="15">
        <v>0.5</v>
      </c>
      <c r="F28" s="13" t="s">
        <v>34</v>
      </c>
      <c r="G28" s="16">
        <v>7200</v>
      </c>
      <c r="H28" s="17">
        <v>0.0016</v>
      </c>
    </row>
    <row r="29" spans="1:8">
      <c r="A29" s="13">
        <v>8</v>
      </c>
      <c r="B29" s="14" t="s">
        <v>52</v>
      </c>
      <c r="C29" s="14" t="s">
        <v>45</v>
      </c>
      <c r="D29" s="15">
        <v>9.1</v>
      </c>
      <c r="E29" s="15">
        <v>10</v>
      </c>
      <c r="F29" s="13" t="s">
        <v>38</v>
      </c>
      <c r="G29" s="16">
        <v>360</v>
      </c>
      <c r="H29" s="17">
        <v>0.033</v>
      </c>
    </row>
    <row r="30" spans="1:8">
      <c r="A30" s="13">
        <v>9</v>
      </c>
      <c r="B30" s="14" t="s">
        <v>53</v>
      </c>
      <c r="C30" s="14" t="s">
        <v>45</v>
      </c>
      <c r="D30" s="15">
        <v>4.8</v>
      </c>
      <c r="E30" s="15">
        <v>5.3</v>
      </c>
      <c r="F30" s="13" t="s">
        <v>34</v>
      </c>
      <c r="G30" s="16">
        <v>679</v>
      </c>
      <c r="H30" s="17">
        <v>0.017</v>
      </c>
    </row>
    <row r="31" spans="1:8">
      <c r="A31" s="13">
        <v>10</v>
      </c>
      <c r="B31" s="14" t="s">
        <v>54</v>
      </c>
      <c r="C31" s="14" t="s">
        <v>55</v>
      </c>
      <c r="D31" s="15">
        <v>1.5</v>
      </c>
      <c r="E31" s="15">
        <v>1.7</v>
      </c>
      <c r="F31" s="13" t="s">
        <v>38</v>
      </c>
      <c r="G31" s="16">
        <v>2118</v>
      </c>
      <c r="H31" s="17">
        <v>0.0056</v>
      </c>
    </row>
    <row r="32" spans="1:8">
      <c r="A32" s="13">
        <v>11</v>
      </c>
      <c r="B32" s="14" t="s">
        <v>57</v>
      </c>
      <c r="C32" s="14" t="s">
        <v>58</v>
      </c>
      <c r="D32" s="15">
        <v>16.7</v>
      </c>
      <c r="E32" s="15">
        <v>16.7</v>
      </c>
      <c r="F32" s="13" t="s">
        <v>34</v>
      </c>
      <c r="G32" s="16">
        <v>216</v>
      </c>
      <c r="H32" s="17">
        <v>0.0534</v>
      </c>
    </row>
    <row r="33" spans="1:8">
      <c r="A33" s="13">
        <v>12</v>
      </c>
      <c r="B33" s="14" t="s">
        <v>59</v>
      </c>
      <c r="C33" s="14" t="s">
        <v>58</v>
      </c>
      <c r="D33" s="15">
        <v>31.3</v>
      </c>
      <c r="E33" s="15">
        <v>31.3</v>
      </c>
      <c r="F33" s="13" t="s">
        <v>34</v>
      </c>
      <c r="G33" s="16">
        <v>115</v>
      </c>
      <c r="H33" s="17">
        <v>0.1002</v>
      </c>
    </row>
    <row r="34" spans="1:8">
      <c r="A34" s="13">
        <v>13</v>
      </c>
      <c r="B34" s="14" t="s">
        <v>60</v>
      </c>
      <c r="C34" s="14" t="s">
        <v>58</v>
      </c>
      <c r="D34" s="15">
        <v>31.3</v>
      </c>
      <c r="E34" s="15">
        <v>31.3</v>
      </c>
      <c r="F34" s="13" t="s">
        <v>34</v>
      </c>
      <c r="G34" s="16">
        <v>115</v>
      </c>
      <c r="H34" s="17">
        <v>0.1002</v>
      </c>
    </row>
    <row r="35" spans="1:8">
      <c r="A35" s="7"/>
      <c r="B35" s="5" t="s">
        <v>64</v>
      </c>
      <c r="C35" s="5"/>
      <c r="D35" s="5"/>
      <c r="E35" s="5"/>
      <c r="F35" s="5"/>
      <c r="G35" s="5"/>
      <c r="H35" s="5"/>
    </row>
    <row r="36" spans="1:8">
      <c r="A36" s="13">
        <v>14</v>
      </c>
      <c r="B36" s="14" t="s">
        <v>66</v>
      </c>
      <c r="C36" s="14" t="s">
        <v>67</v>
      </c>
      <c r="D36" s="15">
        <v>7.5</v>
      </c>
      <c r="E36" s="15">
        <v>8.8</v>
      </c>
      <c r="F36" s="13" t="s">
        <v>42</v>
      </c>
      <c r="G36" s="16">
        <v>408</v>
      </c>
      <c r="H36" s="17">
        <v>0.0335</v>
      </c>
    </row>
    <row r="37" spans="1:8">
      <c r="A37" s="13">
        <v>15</v>
      </c>
      <c r="B37" s="14" t="s">
        <v>68</v>
      </c>
      <c r="C37" s="14" t="s">
        <v>67</v>
      </c>
      <c r="D37" s="15">
        <v>16.3</v>
      </c>
      <c r="E37" s="15">
        <v>19.4</v>
      </c>
      <c r="F37" s="13" t="s">
        <v>69</v>
      </c>
      <c r="G37" s="16">
        <v>185</v>
      </c>
      <c r="H37" s="17">
        <v>0.0758</v>
      </c>
    </row>
    <row r="38" spans="1:8">
      <c r="A38" s="7"/>
      <c r="B38" s="5" t="s">
        <v>70</v>
      </c>
      <c r="C38" s="5"/>
      <c r="D38" s="5"/>
      <c r="E38" s="5"/>
      <c r="F38" s="5"/>
      <c r="G38" s="5"/>
      <c r="H38" s="5"/>
    </row>
    <row r="39" spans="1:8">
      <c r="A39" s="13">
        <v>16</v>
      </c>
      <c r="B39" s="14" t="s">
        <v>72</v>
      </c>
      <c r="C39" s="14" t="s">
        <v>45</v>
      </c>
      <c r="D39" s="15">
        <v>18.9</v>
      </c>
      <c r="E39" s="15">
        <v>20.9</v>
      </c>
      <c r="F39" s="13" t="s">
        <v>38</v>
      </c>
      <c r="G39" s="16">
        <v>172</v>
      </c>
      <c r="H39" s="17">
        <v>0.069</v>
      </c>
    </row>
    <row r="40" spans="1:8">
      <c r="A40" s="13">
        <v>17</v>
      </c>
      <c r="B40" s="14" t="s">
        <v>74</v>
      </c>
      <c r="C40" s="14" t="s">
        <v>67</v>
      </c>
      <c r="D40" s="15">
        <v>10.9</v>
      </c>
      <c r="E40" s="15">
        <v>12.1</v>
      </c>
      <c r="F40" s="13" t="s">
        <v>42</v>
      </c>
      <c r="G40" s="16">
        <v>298</v>
      </c>
      <c r="H40" s="17">
        <v>0.046</v>
      </c>
    </row>
    <row r="41" ht="24" spans="1:8">
      <c r="A41" s="13">
        <v>18</v>
      </c>
      <c r="B41" s="14" t="s">
        <v>76</v>
      </c>
      <c r="C41" s="14" t="s">
        <v>77</v>
      </c>
      <c r="D41" s="15">
        <v>15.3</v>
      </c>
      <c r="E41" s="15">
        <v>17.1</v>
      </c>
      <c r="F41" s="13" t="s">
        <v>42</v>
      </c>
      <c r="G41" s="16">
        <v>211</v>
      </c>
      <c r="H41" s="17">
        <v>0.065</v>
      </c>
    </row>
    <row r="42" ht="24" spans="1:8">
      <c r="A42" s="13">
        <v>19</v>
      </c>
      <c r="B42" s="14" t="s">
        <v>78</v>
      </c>
      <c r="C42" s="14" t="s">
        <v>77</v>
      </c>
      <c r="D42" s="15">
        <v>19.3</v>
      </c>
      <c r="E42" s="15">
        <v>22.7</v>
      </c>
      <c r="F42" s="13" t="s">
        <v>79</v>
      </c>
      <c r="G42" s="16">
        <v>159</v>
      </c>
      <c r="H42" s="17">
        <v>0.0975</v>
      </c>
    </row>
    <row r="43" ht="24" spans="1:8">
      <c r="A43" s="13">
        <v>20</v>
      </c>
      <c r="B43" s="14" t="s">
        <v>80</v>
      </c>
      <c r="C43" s="14" t="s">
        <v>81</v>
      </c>
      <c r="D43" s="15">
        <v>14.2</v>
      </c>
      <c r="E43" s="15">
        <v>15.9</v>
      </c>
      <c r="F43" s="13" t="s">
        <v>82</v>
      </c>
      <c r="G43" s="16">
        <v>226</v>
      </c>
      <c r="H43" s="17">
        <v>0.0668</v>
      </c>
    </row>
    <row r="44" ht="24" spans="1:8">
      <c r="A44" s="13">
        <v>21</v>
      </c>
      <c r="B44" s="14" t="s">
        <v>84</v>
      </c>
      <c r="C44" s="14" t="s">
        <v>81</v>
      </c>
      <c r="D44" s="15">
        <v>15.1</v>
      </c>
      <c r="E44" s="15">
        <v>16.8</v>
      </c>
      <c r="F44" s="13" t="s">
        <v>85</v>
      </c>
      <c r="G44" s="16">
        <v>214</v>
      </c>
      <c r="H44" s="17">
        <v>0.0689</v>
      </c>
    </row>
    <row r="45" spans="1:8">
      <c r="A45" s="13">
        <v>22</v>
      </c>
      <c r="B45" s="14" t="s">
        <v>86</v>
      </c>
      <c r="C45" s="14" t="s">
        <v>67</v>
      </c>
      <c r="D45" s="15">
        <v>13.9</v>
      </c>
      <c r="E45" s="15">
        <v>15.3</v>
      </c>
      <c r="F45" s="13" t="s">
        <v>82</v>
      </c>
      <c r="G45" s="16">
        <v>235</v>
      </c>
      <c r="H45" s="17">
        <v>0.0643</v>
      </c>
    </row>
    <row r="46" spans="1:8">
      <c r="A46" s="13">
        <v>23</v>
      </c>
      <c r="B46" s="14" t="s">
        <v>87</v>
      </c>
      <c r="C46" s="14" t="s">
        <v>67</v>
      </c>
      <c r="D46" s="15">
        <v>18.5</v>
      </c>
      <c r="E46" s="15">
        <v>20.8</v>
      </c>
      <c r="F46" s="13" t="s">
        <v>88</v>
      </c>
      <c r="G46" s="16">
        <v>173</v>
      </c>
      <c r="H46" s="17">
        <v>0.0915</v>
      </c>
    </row>
    <row r="47" ht="24" spans="1:8">
      <c r="A47" s="13">
        <v>24</v>
      </c>
      <c r="B47" s="14" t="s">
        <v>90</v>
      </c>
      <c r="C47" s="14" t="s">
        <v>77</v>
      </c>
      <c r="D47" s="15">
        <v>29</v>
      </c>
      <c r="E47" s="15">
        <v>32.6</v>
      </c>
      <c r="F47" s="13" t="s">
        <v>82</v>
      </c>
      <c r="G47" s="16">
        <v>110</v>
      </c>
      <c r="H47" s="17">
        <v>0.1369</v>
      </c>
    </row>
    <row r="48" ht="24" spans="1:8">
      <c r="A48" s="13">
        <v>25</v>
      </c>
      <c r="B48" s="14" t="s">
        <v>92</v>
      </c>
      <c r="C48" s="14" t="s">
        <v>77</v>
      </c>
      <c r="D48" s="15">
        <v>34.1</v>
      </c>
      <c r="E48" s="15">
        <v>38.1</v>
      </c>
      <c r="F48" s="13" t="s">
        <v>82</v>
      </c>
      <c r="G48" s="16">
        <v>94</v>
      </c>
      <c r="H48" s="17">
        <v>0.16</v>
      </c>
    </row>
    <row r="49" ht="24" spans="1:8">
      <c r="A49" s="13">
        <v>26</v>
      </c>
      <c r="B49" s="14" t="s">
        <v>94</v>
      </c>
      <c r="C49" s="14" t="s">
        <v>95</v>
      </c>
      <c r="D49" s="15">
        <v>20</v>
      </c>
      <c r="E49" s="15">
        <v>22.7</v>
      </c>
      <c r="F49" s="13" t="s">
        <v>79</v>
      </c>
      <c r="G49" s="16">
        <v>159</v>
      </c>
      <c r="H49" s="17">
        <v>0.0976</v>
      </c>
    </row>
    <row r="50" ht="24" spans="1:8">
      <c r="A50" s="13">
        <v>27</v>
      </c>
      <c r="B50" s="14" t="s">
        <v>97</v>
      </c>
      <c r="C50" s="14" t="s">
        <v>95</v>
      </c>
      <c r="D50" s="15">
        <v>20.7</v>
      </c>
      <c r="E50" s="15">
        <v>23.4</v>
      </c>
      <c r="F50" s="13" t="s">
        <v>79</v>
      </c>
      <c r="G50" s="16">
        <v>154</v>
      </c>
      <c r="H50" s="17">
        <v>0.1006</v>
      </c>
    </row>
    <row r="51" spans="1:8">
      <c r="A51" s="13">
        <v>28</v>
      </c>
      <c r="B51" s="14" t="s">
        <v>99</v>
      </c>
      <c r="C51" s="14" t="s">
        <v>45</v>
      </c>
      <c r="D51" s="15">
        <v>23.4</v>
      </c>
      <c r="E51" s="15">
        <v>25.9</v>
      </c>
      <c r="F51" s="13" t="s">
        <v>100</v>
      </c>
      <c r="G51" s="16">
        <v>139</v>
      </c>
      <c r="H51" s="17">
        <v>0.0881</v>
      </c>
    </row>
    <row r="52" spans="1:8">
      <c r="A52" s="7"/>
      <c r="B52" s="5" t="s">
        <v>106</v>
      </c>
      <c r="C52" s="5"/>
      <c r="D52" s="5"/>
      <c r="E52" s="5"/>
      <c r="F52" s="5"/>
      <c r="G52" s="5"/>
      <c r="H52" s="5"/>
    </row>
    <row r="53" spans="1:8">
      <c r="A53" s="13">
        <v>29</v>
      </c>
      <c r="B53" s="14" t="s">
        <v>108</v>
      </c>
      <c r="C53" s="14" t="s">
        <v>109</v>
      </c>
      <c r="D53" s="15">
        <v>30.8</v>
      </c>
      <c r="E53" s="15">
        <v>34.7</v>
      </c>
      <c r="F53" s="13" t="s">
        <v>79</v>
      </c>
      <c r="G53" s="16">
        <v>104</v>
      </c>
      <c r="H53" s="17">
        <v>0.1492</v>
      </c>
    </row>
    <row r="54" spans="1:8">
      <c r="A54" s="13">
        <v>30</v>
      </c>
      <c r="B54" s="14" t="s">
        <v>111</v>
      </c>
      <c r="C54" s="14" t="s">
        <v>45</v>
      </c>
      <c r="D54" s="15">
        <v>29.3</v>
      </c>
      <c r="E54" s="15">
        <v>32.4</v>
      </c>
      <c r="F54" s="13" t="s">
        <v>100</v>
      </c>
      <c r="G54" s="16">
        <v>111</v>
      </c>
      <c r="H54" s="17">
        <v>0.1102</v>
      </c>
    </row>
    <row r="55" spans="1:8">
      <c r="A55" s="13">
        <v>31</v>
      </c>
      <c r="B55" s="14" t="s">
        <v>112</v>
      </c>
      <c r="C55" s="14" t="s">
        <v>45</v>
      </c>
      <c r="D55" s="15">
        <v>5.9</v>
      </c>
      <c r="E55" s="15">
        <v>6.5</v>
      </c>
      <c r="F55" s="13" t="s">
        <v>113</v>
      </c>
      <c r="G55" s="16">
        <v>554</v>
      </c>
      <c r="H55" s="17">
        <v>0.0202</v>
      </c>
    </row>
    <row r="56" spans="1:8">
      <c r="A56" s="13">
        <v>32</v>
      </c>
      <c r="B56" s="14" t="s">
        <v>114</v>
      </c>
      <c r="C56" s="14" t="s">
        <v>45</v>
      </c>
      <c r="D56" s="15">
        <v>2.9</v>
      </c>
      <c r="E56" s="15">
        <v>3.2</v>
      </c>
      <c r="F56" s="13" t="s">
        <v>113</v>
      </c>
      <c r="G56" s="16">
        <v>1125</v>
      </c>
      <c r="H56" s="17">
        <v>0.0099</v>
      </c>
    </row>
    <row r="57" spans="1:8">
      <c r="A57" s="13">
        <v>33</v>
      </c>
      <c r="B57" s="14" t="s">
        <v>115</v>
      </c>
      <c r="C57" s="14" t="s">
        <v>45</v>
      </c>
      <c r="D57" s="15">
        <v>3.7</v>
      </c>
      <c r="E57" s="15">
        <v>4.1</v>
      </c>
      <c r="F57" s="13" t="s">
        <v>113</v>
      </c>
      <c r="G57" s="16">
        <v>878</v>
      </c>
      <c r="H57" s="17">
        <v>0.0127</v>
      </c>
    </row>
    <row r="58" spans="1:8">
      <c r="A58" s="13">
        <v>34</v>
      </c>
      <c r="B58" s="14" t="s">
        <v>116</v>
      </c>
      <c r="C58" s="14" t="s">
        <v>45</v>
      </c>
      <c r="D58" s="15">
        <v>2.9</v>
      </c>
      <c r="E58" s="15">
        <v>3.2</v>
      </c>
      <c r="F58" s="13" t="s">
        <v>113</v>
      </c>
      <c r="G58" s="16">
        <v>1125</v>
      </c>
      <c r="H58" s="17">
        <v>0.0099</v>
      </c>
    </row>
    <row r="59" spans="1:8">
      <c r="A59" s="13">
        <v>35</v>
      </c>
      <c r="B59" s="14" t="s">
        <v>118</v>
      </c>
      <c r="C59" s="14" t="s">
        <v>45</v>
      </c>
      <c r="D59" s="15">
        <v>10.3</v>
      </c>
      <c r="E59" s="15">
        <v>11.3</v>
      </c>
      <c r="F59" s="13" t="s">
        <v>113</v>
      </c>
      <c r="G59" s="16">
        <v>319</v>
      </c>
      <c r="H59" s="17">
        <v>0.035</v>
      </c>
    </row>
    <row r="60" spans="1:8">
      <c r="A60" s="13">
        <v>36</v>
      </c>
      <c r="B60" s="14" t="s">
        <v>119</v>
      </c>
      <c r="C60" s="14" t="s">
        <v>45</v>
      </c>
      <c r="D60" s="15">
        <v>3.8</v>
      </c>
      <c r="E60" s="15">
        <v>4.2</v>
      </c>
      <c r="F60" s="13" t="s">
        <v>113</v>
      </c>
      <c r="G60" s="16">
        <v>857</v>
      </c>
      <c r="H60" s="17">
        <v>0.013</v>
      </c>
    </row>
    <row r="61" spans="1:8">
      <c r="A61" s="13">
        <v>37</v>
      </c>
      <c r="B61" s="14" t="s">
        <v>121</v>
      </c>
      <c r="C61" s="14" t="s">
        <v>45</v>
      </c>
      <c r="D61" s="15">
        <v>23.4</v>
      </c>
      <c r="E61" s="15">
        <v>25.8</v>
      </c>
      <c r="F61" s="13" t="s">
        <v>113</v>
      </c>
      <c r="G61" s="16">
        <v>140</v>
      </c>
      <c r="H61" s="17">
        <v>0.08</v>
      </c>
    </row>
    <row r="62" spans="1:8">
      <c r="A62" s="13">
        <v>38</v>
      </c>
      <c r="B62" s="14" t="s">
        <v>123</v>
      </c>
      <c r="C62" s="14" t="s">
        <v>45</v>
      </c>
      <c r="D62" s="15">
        <v>12.6</v>
      </c>
      <c r="E62" s="15">
        <v>13.9</v>
      </c>
      <c r="F62" s="13" t="s">
        <v>113</v>
      </c>
      <c r="G62" s="16">
        <v>259</v>
      </c>
      <c r="H62" s="17">
        <v>0.0431</v>
      </c>
    </row>
    <row r="63" spans="1:8">
      <c r="A63" s="13">
        <v>39</v>
      </c>
      <c r="B63" s="14" t="s">
        <v>125</v>
      </c>
      <c r="C63" s="14" t="s">
        <v>45</v>
      </c>
      <c r="D63" s="15">
        <v>5.8</v>
      </c>
      <c r="E63" s="15">
        <v>6.4</v>
      </c>
      <c r="F63" s="13" t="s">
        <v>113</v>
      </c>
      <c r="G63" s="16">
        <v>563</v>
      </c>
      <c r="H63" s="17">
        <v>0.0198</v>
      </c>
    </row>
    <row r="64" spans="1:8">
      <c r="A64" s="13">
        <v>40</v>
      </c>
      <c r="B64" s="14" t="s">
        <v>126</v>
      </c>
      <c r="C64" s="14" t="s">
        <v>45</v>
      </c>
      <c r="D64" s="15">
        <v>1.4</v>
      </c>
      <c r="E64" s="15">
        <v>1.6</v>
      </c>
      <c r="F64" s="13" t="s">
        <v>113</v>
      </c>
      <c r="G64" s="16">
        <v>2250</v>
      </c>
      <c r="H64" s="17">
        <v>0.005</v>
      </c>
    </row>
    <row r="65" ht="24" spans="1:8">
      <c r="A65" s="13">
        <v>41</v>
      </c>
      <c r="B65" s="14" t="s">
        <v>127</v>
      </c>
      <c r="C65" s="14" t="s">
        <v>45</v>
      </c>
      <c r="D65" s="15">
        <v>10.4</v>
      </c>
      <c r="E65" s="15">
        <v>11.5</v>
      </c>
      <c r="F65" s="13" t="s">
        <v>113</v>
      </c>
      <c r="G65" s="16">
        <v>313</v>
      </c>
      <c r="H65" s="17">
        <v>0.0357</v>
      </c>
    </row>
    <row r="66" spans="1:8">
      <c r="A66" s="13">
        <v>42</v>
      </c>
      <c r="B66" s="14" t="s">
        <v>128</v>
      </c>
      <c r="C66" s="14" t="s">
        <v>45</v>
      </c>
      <c r="D66" s="15">
        <v>0.9</v>
      </c>
      <c r="E66" s="15">
        <v>1</v>
      </c>
      <c r="F66" s="13" t="s">
        <v>113</v>
      </c>
      <c r="G66" s="16">
        <v>3600</v>
      </c>
      <c r="H66" s="17">
        <v>0.0031</v>
      </c>
    </row>
    <row r="68" spans="1:1">
      <c r="A68" s="1" t="s">
        <v>133</v>
      </c>
    </row>
  </sheetData>
  <mergeCells count="22">
    <mergeCell ref="A1:H1"/>
    <mergeCell ref="A2:H2"/>
    <mergeCell ref="A3:H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68:H68"/>
    <mergeCell ref="A69:H69"/>
    <mergeCell ref="E4:H19"/>
  </mergeCells>
  <printOptions horizontalCentered="1"/>
  <pageMargins left="0.0791666666666667" right="0.0791666666666667" top="0.396527777777778" bottom="0.396527777777778" header="0.197916666666667" footer="0.197916666666667"/>
  <pageSetup paperSize="9" orientation="portrait"/>
  <headerFooter>
    <oddFooter>&amp;R&amp;D &amp;T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" sqref="B4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JDWM2500001 (2润丰</vt:lpstr>
      <vt:lpstr>JDWM2500001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2025-05-04T03:10:00Z</dcterms:created>
  <dcterms:modified xsi:type="dcterms:W3CDTF">2025-06-07T09:09:04Z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67D72217CEE145F28329EAF1E3AF6D47_13</vt:lpwstr>
  </property>
  <property fmtid="{D5CDD505-2E9C-101B-9397-08002B2CF9AE}" pid="3" name="KSOProductBuildVer">
    <vt:lpwstr>2052-12.1.0.21171</vt:lpwstr>
  </property>
</Properties>
</file>