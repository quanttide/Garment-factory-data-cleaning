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unzhu Lai\Dropbox\Yunzhu Exp\data\International order firm\runfeng\半年数据\半年数据\工序表\"/>
    </mc:Choice>
  </mc:AlternateContent>
  <xr:revisionPtr revIDLastSave="0" documentId="13_ncr:1_{66AC78A1-7981-47D0-B94A-58B9CCB25B8C}" xr6:coauthVersionLast="47" xr6:coauthVersionMax="47" xr10:uidLastSave="{00000000-0000-0000-0000-000000000000}"/>
  <bookViews>
    <workbookView xWindow="24570" yWindow="-17595" windowWidth="17280" windowHeight="15990" xr2:uid="{00000000-000D-0000-FFFF-FFFF00000000}"/>
  </bookViews>
  <sheets>
    <sheet name="12C1451-1469" sheetId="1" r:id="rId1"/>
    <sheet name="1450" sheetId="2" r:id="rId2"/>
  </sheets>
  <definedNames>
    <definedName name="_xlnm.Print_Titles" localSheetId="0">'12C1451-1469'!$1:$11</definedName>
    <definedName name="_xlnm.Print_Titles" localSheetId="1">'1450'!$1:$11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11" i="1"/>
  <c r="B10" i="1"/>
</calcChain>
</file>

<file path=xl/sharedStrings.xml><?xml version="1.0" encoding="utf-8"?>
<sst xmlns="http://schemas.openxmlformats.org/spreadsheetml/2006/main" count="766" uniqueCount="201">
  <si>
    <t>重庆尚上服饰有限公司</t>
  </si>
  <si>
    <t>款式工序表</t>
  </si>
  <si>
    <t>打印日期：2024-10-17 15:32:34</t>
  </si>
  <si>
    <t>生产制单号：</t>
  </si>
  <si>
    <t>12C1450</t>
  </si>
  <si>
    <t>客　　户：</t>
  </si>
  <si>
    <t>上海润昌</t>
  </si>
  <si>
    <t>客户款号：</t>
  </si>
  <si>
    <t>款式描述：</t>
  </si>
  <si>
    <t>梭织套里短裤。（整款大部分工艺同1114款，）同款有12C1469款，1469款脚口没有反光条</t>
  </si>
  <si>
    <t>品质标准：</t>
  </si>
  <si>
    <t>数　　量：</t>
  </si>
  <si>
    <t>车缝时间：</t>
  </si>
  <si>
    <t>车缝10H台产：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</si>
  <si>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</si>
  <si>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</si>
  <si>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</si>
  <si>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</si>
  <si>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</si>
  <si>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</si>
  <si>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</si>
  <si>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</si>
  <si>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</si>
  <si>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</si>
  <si>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</si>
  <si>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</si>
  <si>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</si>
  <si>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</si>
  <si>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</si>
  <si>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</si>
  <si>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松里布*0.277</t>
  </si>
  <si>
    <t>松布机</t>
  </si>
  <si>
    <t>E1</t>
  </si>
  <si>
    <t>松网布*0.022</t>
  </si>
  <si>
    <t>松面布*0.4323</t>
  </si>
  <si>
    <t>手工</t>
  </si>
  <si>
    <t>拉面布*0.4323（150-160层）  隔线</t>
  </si>
  <si>
    <t>拉布机</t>
  </si>
  <si>
    <t>E2</t>
  </si>
  <si>
    <t>拉里布*0.277</t>
  </si>
  <si>
    <t>E3</t>
  </si>
  <si>
    <t>拉衬布*0.0013</t>
  </si>
  <si>
    <t>拉网布*0.022</t>
  </si>
  <si>
    <t>裁剪面布*6（150-160层）</t>
  </si>
  <si>
    <t>电脑裁床</t>
  </si>
  <si>
    <t>D4</t>
  </si>
  <si>
    <t>裁剪里布*3</t>
  </si>
  <si>
    <t>裁剪网布*2</t>
  </si>
  <si>
    <t>裁剪直眼衬*2</t>
  </si>
  <si>
    <t>面布分包*6</t>
  </si>
  <si>
    <t>里布分包*3</t>
  </si>
  <si>
    <t>分网布*2   大包</t>
  </si>
  <si>
    <t>验片/配片*5</t>
  </si>
  <si>
    <t>打编号*6</t>
  </si>
  <si>
    <t>切脚口捆条*0.053</t>
  </si>
  <si>
    <t>切捆条机</t>
  </si>
  <si>
    <t>烫里布标*1</t>
  </si>
  <si>
    <t>压烫机</t>
  </si>
  <si>
    <t>烫前LOGO标</t>
  </si>
  <si>
    <t>烫前logo标/撕标</t>
  </si>
  <si>
    <t>烫腰头直眼衬*2</t>
  </si>
  <si>
    <t>中烫（气烫）</t>
  </si>
  <si>
    <t>2-里布</t>
  </si>
  <si>
    <t>双针冚车冚里袋口明线*1</t>
  </si>
  <si>
    <t>电脑双针三线冚车</t>
  </si>
  <si>
    <t>C4</t>
  </si>
  <si>
    <t>自动模板贴里手机袋</t>
  </si>
  <si>
    <t>自动模板贴里手机袋（一个模板2件）不含机器时间</t>
  </si>
  <si>
    <t>全自动模板机</t>
  </si>
  <si>
    <t>冚车冚里布侧袋装饰线*1</t>
  </si>
  <si>
    <t>电脑三针五线冚车</t>
  </si>
  <si>
    <t>半成品里袋口打枣*2</t>
  </si>
  <si>
    <t>半成品里袋口打枣*2（挑剪冚车线)</t>
  </si>
  <si>
    <t>电脑打枣车</t>
  </si>
  <si>
    <t>E4</t>
  </si>
  <si>
    <t>四线合里前浪*1</t>
  </si>
  <si>
    <t>电脑四线锁边车</t>
  </si>
  <si>
    <t>C1</t>
  </si>
  <si>
    <t>三针五线压前浪明线*1</t>
  </si>
  <si>
    <t>四线合里后浪*1</t>
  </si>
  <si>
    <t>三针五线压里布后浪明线*1</t>
  </si>
  <si>
    <t>四线合里底浪*1</t>
  </si>
  <si>
    <t>三针五线冚里布底浪明线*1</t>
  </si>
  <si>
    <t>双针冚车冚脚口明线*2</t>
  </si>
  <si>
    <t>双针冚车冚脚口明线*2(翻底裤）</t>
  </si>
  <si>
    <t>B1</t>
  </si>
  <si>
    <t>3-腰头</t>
  </si>
  <si>
    <t>缩水腰头橡筋/米</t>
  </si>
  <si>
    <t>蒸箱</t>
  </si>
  <si>
    <t>蒸弹力线</t>
  </si>
  <si>
    <t>蒸弹力线（个）</t>
  </si>
  <si>
    <t>蒸缩腰头弹力绳/米*1</t>
  </si>
  <si>
    <t>量剪腰头弹力绳*1</t>
  </si>
  <si>
    <t>手工量剪腰头橡筋*1</t>
  </si>
  <si>
    <t>半成品开直眼*2</t>
  </si>
  <si>
    <t>半成品开直眼*2（车台定位）</t>
  </si>
  <si>
    <t>电脑单头平眼车</t>
  </si>
  <si>
    <t>平车拼接腰头橡筋*1</t>
  </si>
  <si>
    <t>电脑平车</t>
  </si>
  <si>
    <t>四线拼接腰缝*2</t>
  </si>
  <si>
    <t>三针五线冚面腰两侧*2</t>
  </si>
  <si>
    <t>手工点橡筋中位*1</t>
  </si>
  <si>
    <t>手工点橡筋中位*1（带着做）</t>
  </si>
  <si>
    <t>平车开骨落橡筋包固腰头位*3</t>
  </si>
  <si>
    <t>平车开骨落橡筋包固腰头位*3（腰头定通、针脚调稀）</t>
  </si>
  <si>
    <t>多针橡筋车上架冚腰头多线（3条）*1</t>
  </si>
  <si>
    <t>多针橡筋车</t>
  </si>
  <si>
    <t>手工穿弹力绳*1</t>
  </si>
  <si>
    <t>驳接腰头弹力绳及寽平接头藏于腰里</t>
  </si>
  <si>
    <t>驳接腰头弹力绳及寽平接头藏于腰里（双线）成品</t>
  </si>
  <si>
    <t>手工点腰头位*2</t>
  </si>
  <si>
    <t>4-前片</t>
  </si>
  <si>
    <t>四线合前浪*1</t>
  </si>
  <si>
    <t>三针五线冚车冚前浪线*1</t>
  </si>
  <si>
    <t>5-后片</t>
  </si>
  <si>
    <t>四线合后浪*1</t>
  </si>
  <si>
    <t>三针五线压后浪明线*1</t>
  </si>
  <si>
    <t>C3</t>
  </si>
  <si>
    <t>6-组合</t>
  </si>
  <si>
    <t>27</t>
  </si>
  <si>
    <t>挂片</t>
  </si>
  <si>
    <t>挂片/配片</t>
  </si>
  <si>
    <t>B+</t>
  </si>
  <si>
    <t>四线合侧拼缝*2*2</t>
  </si>
  <si>
    <t>四线合侧拼缝2*2(1469/1451款)</t>
  </si>
  <si>
    <t>三针五线冚车冚侧拼缝*2*2</t>
  </si>
  <si>
    <t>三针五线冚车冚侧拼缝2*2(1469/1451款)</t>
  </si>
  <si>
    <t>四线合侧拼缝*2(1450款)</t>
  </si>
  <si>
    <t>三针五线冚车冚侧拼缝*2(1450款)</t>
  </si>
  <si>
    <t>四线合侧下拼网布*2</t>
  </si>
  <si>
    <t>双针冚车冚侧下拼缝明线*2</t>
  </si>
  <si>
    <t>手工比对脚口修剪*1</t>
  </si>
  <si>
    <t>冚车拉筒拉脚口连剪*2</t>
  </si>
  <si>
    <t>电脑单针双线冚车</t>
  </si>
  <si>
    <t>平车对位合底浪*1</t>
  </si>
  <si>
    <t>四线锁底浪散口*1</t>
  </si>
  <si>
    <t>三针五线冚底浪明线*1</t>
  </si>
  <si>
    <t>平车订底浪两端锁边线/冚车线2*1</t>
  </si>
  <si>
    <t>平车对位上腰头暗线*1</t>
  </si>
  <si>
    <t>B4</t>
  </si>
  <si>
    <t>平车订洗标于后中*1</t>
  </si>
  <si>
    <t>平车套底裤暗线*1</t>
  </si>
  <si>
    <t>B2</t>
  </si>
  <si>
    <t>四线锁腰头一周*1</t>
  </si>
  <si>
    <t>手工翻套里裤子*1</t>
  </si>
  <si>
    <t>三针五线冚车冚腰缝明线一周</t>
  </si>
  <si>
    <t>三针五线冚车冚腰缝明线一周(双层）*1(上架）</t>
  </si>
  <si>
    <t>手工拆腰头缝线*3</t>
  </si>
  <si>
    <t>手工拆腰头缝线*3（固在冚车线上订通到腰口）</t>
  </si>
  <si>
    <t>平车固定后中冚车线横定两次*1</t>
  </si>
  <si>
    <t>中查</t>
  </si>
  <si>
    <t>检验</t>
  </si>
  <si>
    <t>制表人：钱玲燕      审核：　　　    　 审批：　        批准：                          　　　　</t>
  </si>
  <si>
    <t>松里布*0.2482</t>
  </si>
  <si>
    <t>松网布*0.0185</t>
  </si>
  <si>
    <t>松面布*0.4143</t>
  </si>
  <si>
    <t>拉面布*0.4143</t>
  </si>
  <si>
    <t>拉里布*0.2482</t>
  </si>
  <si>
    <t>拉衬布*0.002</t>
  </si>
  <si>
    <t>拉网布*0.0185</t>
  </si>
  <si>
    <t>裁剪面布*6</t>
  </si>
  <si>
    <t>手工里布分包*3（大包）</t>
  </si>
  <si>
    <t>切脚口捆条*0.0464</t>
  </si>
  <si>
    <t>烫里布主标/撕标*1</t>
  </si>
  <si>
    <t>中烫烫腰头直眼衬*2</t>
  </si>
  <si>
    <t>烫前后片侧下点状烫标/撕标*4（1450款）</t>
  </si>
  <si>
    <t>烫前后片侧下点状烫标/撕标*4（针对1450款使用）</t>
  </si>
  <si>
    <t>下裁片</t>
  </si>
  <si>
    <t>手工撕反光条膜*2（1505款）</t>
  </si>
  <si>
    <t>自动模板落反光条于侧网布*2(1505款)</t>
  </si>
  <si>
    <t>自动模板落反光条于侧网布*2  （不含机器时间）1505款</t>
  </si>
  <si>
    <t>四线合侧拼缝2*2(1469、1451款)</t>
  </si>
  <si>
    <t>三针五线冚车冚侧拼缝2*2(1469、1451款)</t>
  </si>
  <si>
    <t>手工比对脚口修剪2*2</t>
  </si>
  <si>
    <t>冚车带筒拉脚口散口连剪*2</t>
  </si>
  <si>
    <t>手工拆腰头缝线*3（固在冚车线上订通到口）</t>
  </si>
  <si>
    <t>7-尾部</t>
  </si>
  <si>
    <t>尾部收货</t>
  </si>
  <si>
    <t>大烫</t>
  </si>
  <si>
    <t>整烫（尾部）</t>
  </si>
  <si>
    <t>检验/剪线</t>
  </si>
  <si>
    <t>分色/分码</t>
  </si>
  <si>
    <t>分PO</t>
  </si>
  <si>
    <t>查码</t>
  </si>
  <si>
    <t>贴吊牌贴纸*1</t>
  </si>
  <si>
    <t>穿主吊牌及紫色吊牌打结*1（1200件）</t>
  </si>
  <si>
    <t>穿主吊牌打结*1（66244件）</t>
  </si>
  <si>
    <t>枪打主吊牌*1（绳结、不过里）</t>
  </si>
  <si>
    <t>枪打价格吊牌*1（不过里、57061件）</t>
  </si>
  <si>
    <t>包装搬运*1</t>
  </si>
  <si>
    <t>贴网单胶袋贴纸*1（9900件）</t>
  </si>
  <si>
    <t>贴网单2胶袋贴纸*2（480件）</t>
  </si>
  <si>
    <t>单件折叠*1</t>
  </si>
  <si>
    <t>网单单件装袋自封袋放干燥剂*1（10380件）</t>
  </si>
  <si>
    <t>验针</t>
  </si>
  <si>
    <t>装袋前检查包装</t>
  </si>
  <si>
    <t>EE</t>
  </si>
  <si>
    <t>配比6-8件入中胶袋 （放干燥剂） 1/8（57061件）</t>
  </si>
  <si>
    <t>入箱1袋/箱8件(写箱号 封箱 贴箱贴、装箱 放天地板 封箱 称箱 放箱)（57061件）</t>
  </si>
  <si>
    <t>独色独码40件一箱(写箱号 贴箱贴 封箱 装箱 放天地板 封箱 称箱 放箱)（10380件）</t>
  </si>
  <si>
    <t>拉箱入库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</si>
</sst>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_ "/>
    <numFmt numFmtId="169" formatCode="0_ "/>
  </numFmts>
  <fonts count="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vertical="center" wrapText="1"/>
    </xf>
    <xf numFmtId="168" fontId="1" fillId="0" borderId="1" xfId="0" applyNumberFormat="1" applyFont="1" applyBorder="1">
      <alignment vertical="center"/>
    </xf>
    <xf numFmtId="169" fontId="1" fillId="0" borderId="1" xfId="0" applyNumberFormat="1" applyFont="1" applyBorder="1">
      <alignment vertical="center"/>
    </xf>
    <xf numFmtId="0" fontId="1" fillId="3" borderId="1" xfId="0" applyFont="1" applyFill="1" applyBorder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9" fontId="1" fillId="0" borderId="2" xfId="0" applyNumberFormat="1" applyFont="1" applyBorder="1" applyAlignment="1">
      <alignment horizontal="left" vertical="center"/>
    </xf>
    <xf numFmtId="9" fontId="1" fillId="0" borderId="3" xfId="0" applyNumberFormat="1" applyFont="1" applyBorder="1" applyAlignment="1">
      <alignment horizontal="left" vertical="center" wrapText="1"/>
    </xf>
    <xf numFmtId="9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>
      <alignment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9" fontId="1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525462</xdr:colOff>
      <xdr:row>2</xdr:row>
      <xdr:rowOff>65087</xdr:rowOff>
    </xdr:from>
    <xdr:to>
      <xdr:col>8</xdr:col>
      <xdr:colOff>438150</xdr:colOff>
      <xdr:row>10</xdr:row>
      <xdr:rowOff>182562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8137" y="655637"/>
          <a:ext cx="2122488" cy="176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1054100</xdr:colOff>
      <xdr:row>1</xdr:row>
      <xdr:rowOff>231775</xdr:rowOff>
    </xdr:from>
    <xdr:to>
      <xdr:col>7</xdr:col>
      <xdr:colOff>466725</xdr:colOff>
      <xdr:row>10</xdr:row>
      <xdr:rowOff>82550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5275" y="555625"/>
          <a:ext cx="2308225" cy="1479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1"/>
  <sheetViews>
    <sheetView tabSelected="1" view="pageBreakPreview" zoomScaleNormal="100" workbookViewId="0">
      <selection activeCell="B7" sqref="B7:E7"/>
    </sheetView>
  </sheetViews>
  <sheetFormatPr defaultColWidth="9" defaultRowHeight="13.15"/>
  <cols>
    <col min="1" max="1" width="9.59765625" style="2" customWidth="1"/>
    <col min="2" max="2" width="28.59765625" style="3" customWidth="1"/>
    <col min="3" max="3" width="33.1328125" style="1" customWidth="1"/>
    <col min="4" max="4" width="14.73046875" style="1" customWidth="1"/>
    <col min="5" max="8" width="7.73046875" style="3" customWidth="1"/>
    <col min="9" max="98" width="9" style="3"/>
    <col min="99" max="99" width="59.59765625" style="3" customWidth="1"/>
    <col min="100" max="16384" width="9" style="3"/>
  </cols>
  <sheetData>
    <row r="1" spans="1:99" ht="25.5">
      <c r="A1" s="28" t="s">
        <v>0</v>
      </c>
      <c r="B1" s="28"/>
      <c r="C1" s="29"/>
      <c r="D1" s="29"/>
      <c r="E1" s="28"/>
      <c r="F1" s="28"/>
      <c r="G1" s="28"/>
      <c r="H1" s="28"/>
    </row>
    <row r="2" spans="1:99" ht="21">
      <c r="A2" s="30" t="s">
        <v>1</v>
      </c>
      <c r="B2" s="30"/>
      <c r="C2" s="31"/>
      <c r="D2" s="31"/>
      <c r="E2" s="30"/>
      <c r="F2" s="30"/>
      <c r="G2" s="30"/>
      <c r="H2" s="30"/>
    </row>
    <row r="3" spans="1:99">
      <c r="A3" s="32" t="s">
        <v>2</v>
      </c>
      <c r="B3" s="32"/>
      <c r="C3" s="33"/>
      <c r="D3" s="33"/>
      <c r="E3" s="32"/>
      <c r="F3" s="32"/>
      <c r="G3" s="32"/>
      <c r="H3" s="32"/>
    </row>
    <row r="4" spans="1:99">
      <c r="A4" s="6" t="s">
        <v>3</v>
      </c>
      <c r="B4" s="34" t="s">
        <v>4</v>
      </c>
      <c r="C4" s="35"/>
      <c r="D4" s="35"/>
      <c r="E4" s="36"/>
      <c r="F4" s="48"/>
      <c r="G4" s="48"/>
      <c r="H4" s="48"/>
    </row>
    <row r="5" spans="1:99">
      <c r="A5" s="6" t="s">
        <v>5</v>
      </c>
      <c r="B5" s="37" t="s">
        <v>6</v>
      </c>
      <c r="C5" s="38"/>
      <c r="D5" s="38"/>
      <c r="E5" s="39"/>
      <c r="F5" s="48"/>
      <c r="G5" s="48"/>
      <c r="H5" s="48"/>
    </row>
    <row r="6" spans="1:99">
      <c r="A6" s="6" t="s">
        <v>7</v>
      </c>
      <c r="B6" s="34" t="s">
        <v>4</v>
      </c>
      <c r="C6" s="35"/>
      <c r="D6" s="35"/>
      <c r="E6" s="36"/>
      <c r="F6" s="48"/>
      <c r="G6" s="48"/>
      <c r="H6" s="48"/>
    </row>
    <row r="7" spans="1:99" ht="24" customHeight="1">
      <c r="A7" s="6" t="s">
        <v>8</v>
      </c>
      <c r="B7" s="40" t="s">
        <v>9</v>
      </c>
      <c r="C7" s="38"/>
      <c r="D7" s="38"/>
      <c r="E7" s="41"/>
      <c r="F7" s="48"/>
      <c r="G7" s="48"/>
      <c r="H7" s="48"/>
      <c r="CU7" s="1"/>
    </row>
    <row r="8" spans="1:99" ht="12" customHeight="1">
      <c r="A8" s="6" t="s">
        <v>10</v>
      </c>
      <c r="B8" s="40"/>
      <c r="C8" s="38"/>
      <c r="D8" s="38"/>
      <c r="E8" s="41"/>
      <c r="F8" s="48"/>
      <c r="G8" s="48"/>
      <c r="H8" s="48"/>
      <c r="CU8" s="1"/>
    </row>
    <row r="9" spans="1:99">
      <c r="A9" s="6" t="s">
        <v>11</v>
      </c>
      <c r="B9" s="37"/>
      <c r="C9" s="38"/>
      <c r="D9" s="38"/>
      <c r="E9" s="39"/>
      <c r="F9" s="48"/>
      <c r="G9" s="48"/>
      <c r="H9" s="48"/>
    </row>
    <row r="10" spans="1:99" ht="26.25">
      <c r="A10" s="8" t="s">
        <v>12</v>
      </c>
      <c r="B10" s="37">
        <f>SUM(F43:F75,F78:F79,F82:F97)</f>
        <v>946.7</v>
      </c>
      <c r="C10" s="38"/>
      <c r="D10" s="38"/>
      <c r="E10" s="39"/>
      <c r="F10" s="48"/>
      <c r="G10" s="48"/>
      <c r="H10" s="48"/>
    </row>
    <row r="11" spans="1:99" ht="16.05" customHeight="1">
      <c r="A11" s="8" t="s">
        <v>13</v>
      </c>
      <c r="B11" s="37">
        <f>37800/B10</f>
        <v>39.928171543255502</v>
      </c>
      <c r="C11" s="38"/>
      <c r="D11" s="38"/>
      <c r="E11" s="39"/>
      <c r="F11" s="48"/>
      <c r="G11" s="48"/>
      <c r="H11" s="48"/>
    </row>
    <row r="12" spans="1:99" hidden="1">
      <c r="A12" s="6" t="s">
        <v>14</v>
      </c>
      <c r="B12" s="37"/>
      <c r="C12" s="38"/>
      <c r="D12" s="38"/>
      <c r="E12" s="39"/>
      <c r="F12" s="48"/>
      <c r="G12" s="48"/>
      <c r="H12" s="48"/>
    </row>
    <row r="13" spans="1:99" hidden="1">
      <c r="A13" s="6" t="s">
        <v>15</v>
      </c>
      <c r="B13" s="42"/>
      <c r="C13" s="43"/>
      <c r="D13" s="43"/>
      <c r="E13" s="44"/>
      <c r="F13" s="48"/>
      <c r="G13" s="48"/>
      <c r="H13" s="48"/>
    </row>
    <row r="14" spans="1:99" ht="26.25" hidden="1">
      <c r="A14" s="8" t="s">
        <v>16</v>
      </c>
      <c r="B14" s="37"/>
      <c r="C14" s="38"/>
      <c r="D14" s="38"/>
      <c r="E14" s="39"/>
      <c r="F14" s="48"/>
      <c r="G14" s="48"/>
      <c r="H14" s="48"/>
    </row>
    <row r="15" spans="1:99" ht="26.25" hidden="1">
      <c r="A15" s="8" t="s">
        <v>17</v>
      </c>
      <c r="B15" s="37"/>
      <c r="C15" s="38"/>
      <c r="D15" s="38"/>
      <c r="E15" s="39"/>
      <c r="F15" s="48"/>
      <c r="G15" s="48"/>
      <c r="H15" s="48"/>
    </row>
    <row r="16" spans="1:99" ht="26.25" hidden="1">
      <c r="A16" s="8" t="s">
        <v>18</v>
      </c>
      <c r="B16" s="37"/>
      <c r="C16" s="38"/>
      <c r="D16" s="38"/>
      <c r="E16" s="39"/>
      <c r="F16" s="48"/>
      <c r="G16" s="48"/>
      <c r="H16" s="48"/>
    </row>
    <row r="17" spans="1:99" hidden="1">
      <c r="A17" s="8" t="s">
        <v>19</v>
      </c>
      <c r="B17" s="37"/>
      <c r="C17" s="38"/>
      <c r="D17" s="38"/>
      <c r="E17" s="39"/>
      <c r="F17" s="48"/>
      <c r="G17" s="48"/>
      <c r="H17" s="48"/>
    </row>
    <row r="18" spans="1:99" ht="12" hidden="1" customHeight="1">
      <c r="A18" s="6" t="s">
        <v>20</v>
      </c>
      <c r="B18" s="40"/>
      <c r="C18" s="38"/>
      <c r="D18" s="38"/>
      <c r="E18" s="41"/>
      <c r="F18" s="48"/>
      <c r="G18" s="48"/>
      <c r="H18" s="48"/>
      <c r="CU18" s="1"/>
    </row>
    <row r="19" spans="1:99" hidden="1">
      <c r="A19" s="6" t="s">
        <v>21</v>
      </c>
      <c r="B19" s="37"/>
      <c r="C19" s="38"/>
      <c r="D19" s="38"/>
      <c r="E19" s="39"/>
      <c r="F19" s="48"/>
      <c r="G19" s="48"/>
      <c r="H19" s="48"/>
    </row>
    <row r="20" spans="1:99" ht="26.25">
      <c r="A20" s="9" t="s">
        <v>22</v>
      </c>
      <c r="B20" s="10" t="s">
        <v>23</v>
      </c>
      <c r="C20" s="10" t="s">
        <v>23</v>
      </c>
      <c r="D20" s="10" t="s">
        <v>24</v>
      </c>
      <c r="E20" s="10" t="s">
        <v>25</v>
      </c>
      <c r="F20" s="10" t="s">
        <v>26</v>
      </c>
      <c r="G20" s="10" t="s">
        <v>27</v>
      </c>
      <c r="H20" s="10" t="s">
        <v>28</v>
      </c>
    </row>
    <row r="21" spans="1:99">
      <c r="A21" s="12"/>
      <c r="B21" s="13" t="s">
        <v>29</v>
      </c>
      <c r="C21" s="26" t="s">
        <v>29</v>
      </c>
      <c r="D21" s="26"/>
      <c r="E21" s="27"/>
      <c r="F21" s="27"/>
      <c r="G21" s="27"/>
      <c r="H21" s="27"/>
    </row>
    <row r="22" spans="1:99">
      <c r="A22" s="12">
        <v>301</v>
      </c>
      <c r="B22" s="15" t="s">
        <v>30</v>
      </c>
      <c r="C22" s="17" t="s">
        <v>30</v>
      </c>
      <c r="D22" s="17" t="s">
        <v>31</v>
      </c>
      <c r="E22" s="18">
        <v>1.4</v>
      </c>
      <c r="F22" s="18">
        <v>1.6</v>
      </c>
      <c r="G22" s="12" t="s">
        <v>32</v>
      </c>
      <c r="H22" s="19">
        <v>2250</v>
      </c>
    </row>
    <row r="23" spans="1:99">
      <c r="A23" s="12">
        <v>302</v>
      </c>
      <c r="B23" s="15" t="s">
        <v>33</v>
      </c>
      <c r="C23" s="17" t="s">
        <v>33</v>
      </c>
      <c r="D23" s="17" t="s">
        <v>31</v>
      </c>
      <c r="E23" s="18">
        <v>0.1</v>
      </c>
      <c r="F23" s="18">
        <v>0.1</v>
      </c>
      <c r="G23" s="12" t="s">
        <v>32</v>
      </c>
      <c r="H23" s="19">
        <v>36000</v>
      </c>
    </row>
    <row r="24" spans="1:99">
      <c r="A24" s="12">
        <v>303</v>
      </c>
      <c r="B24" s="15" t="s">
        <v>34</v>
      </c>
      <c r="C24" s="17" t="s">
        <v>34</v>
      </c>
      <c r="D24" s="17" t="s">
        <v>35</v>
      </c>
      <c r="E24" s="18">
        <v>2.2000000000000002</v>
      </c>
      <c r="F24" s="18">
        <v>2.4</v>
      </c>
      <c r="G24" s="12" t="s">
        <v>32</v>
      </c>
      <c r="H24" s="19">
        <v>1500</v>
      </c>
    </row>
    <row r="25" spans="1:99" ht="26.25">
      <c r="A25" s="12">
        <v>304</v>
      </c>
      <c r="B25" s="15" t="s">
        <v>36</v>
      </c>
      <c r="C25" s="17" t="s">
        <v>36</v>
      </c>
      <c r="D25" s="17" t="s">
        <v>37</v>
      </c>
      <c r="E25" s="18">
        <v>6.1</v>
      </c>
      <c r="F25" s="18">
        <v>6.9</v>
      </c>
      <c r="G25" s="12" t="s">
        <v>38</v>
      </c>
      <c r="H25" s="19">
        <v>522</v>
      </c>
    </row>
    <row r="26" spans="1:99">
      <c r="A26" s="12">
        <v>305</v>
      </c>
      <c r="B26" s="15" t="s">
        <v>39</v>
      </c>
      <c r="C26" s="17" t="s">
        <v>39</v>
      </c>
      <c r="D26" s="17" t="s">
        <v>37</v>
      </c>
      <c r="E26" s="18">
        <v>3.8</v>
      </c>
      <c r="F26" s="18">
        <v>4.3</v>
      </c>
      <c r="G26" s="12" t="s">
        <v>40</v>
      </c>
      <c r="H26" s="19">
        <v>837</v>
      </c>
    </row>
    <row r="27" spans="1:99">
      <c r="A27" s="12">
        <v>306</v>
      </c>
      <c r="B27" s="15" t="s">
        <v>41</v>
      </c>
      <c r="C27" s="17" t="s">
        <v>41</v>
      </c>
      <c r="D27" s="17" t="s">
        <v>37</v>
      </c>
      <c r="E27" s="18">
        <v>0.1</v>
      </c>
      <c r="F27" s="18">
        <v>0.1</v>
      </c>
      <c r="G27" s="12" t="s">
        <v>38</v>
      </c>
      <c r="H27" s="19">
        <v>36000</v>
      </c>
    </row>
    <row r="28" spans="1:99">
      <c r="A28" s="12">
        <v>307</v>
      </c>
      <c r="B28" s="15" t="s">
        <v>42</v>
      </c>
      <c r="C28" s="17" t="s">
        <v>42</v>
      </c>
      <c r="D28" s="17" t="s">
        <v>37</v>
      </c>
      <c r="E28" s="18">
        <v>0.4</v>
      </c>
      <c r="F28" s="18">
        <v>0.4</v>
      </c>
      <c r="G28" s="12" t="s">
        <v>40</v>
      </c>
      <c r="H28" s="19">
        <v>9000</v>
      </c>
    </row>
    <row r="29" spans="1:99">
      <c r="A29" s="12">
        <v>308</v>
      </c>
      <c r="B29" s="15" t="s">
        <v>43</v>
      </c>
      <c r="C29" s="17" t="s">
        <v>43</v>
      </c>
      <c r="D29" s="17" t="s">
        <v>44</v>
      </c>
      <c r="E29" s="18">
        <v>4.8</v>
      </c>
      <c r="F29" s="18">
        <v>5.2</v>
      </c>
      <c r="G29" s="12" t="s">
        <v>45</v>
      </c>
      <c r="H29" s="19">
        <v>692</v>
      </c>
    </row>
    <row r="30" spans="1:99">
      <c r="A30" s="12">
        <v>309</v>
      </c>
      <c r="B30" s="15" t="s">
        <v>46</v>
      </c>
      <c r="C30" s="17" t="s">
        <v>46</v>
      </c>
      <c r="D30" s="17" t="s">
        <v>44</v>
      </c>
      <c r="E30" s="18">
        <v>2.9</v>
      </c>
      <c r="F30" s="18">
        <v>3.2</v>
      </c>
      <c r="G30" s="12" t="s">
        <v>45</v>
      </c>
      <c r="H30" s="19">
        <v>1125</v>
      </c>
    </row>
    <row r="31" spans="1:99">
      <c r="A31" s="12">
        <v>310</v>
      </c>
      <c r="B31" s="15" t="s">
        <v>47</v>
      </c>
      <c r="C31" s="17" t="s">
        <v>47</v>
      </c>
      <c r="D31" s="17" t="s">
        <v>44</v>
      </c>
      <c r="E31" s="18">
        <v>1</v>
      </c>
      <c r="F31" s="18">
        <v>1.1000000000000001</v>
      </c>
      <c r="G31" s="12" t="s">
        <v>45</v>
      </c>
      <c r="H31" s="19">
        <v>3273</v>
      </c>
    </row>
    <row r="32" spans="1:99">
      <c r="A32" s="12">
        <v>311</v>
      </c>
      <c r="B32" s="15" t="s">
        <v>48</v>
      </c>
      <c r="C32" s="17" t="s">
        <v>48</v>
      </c>
      <c r="D32" s="17" t="s">
        <v>44</v>
      </c>
      <c r="E32" s="18">
        <v>0.4</v>
      </c>
      <c r="F32" s="18">
        <v>0.5</v>
      </c>
      <c r="G32" s="12" t="s">
        <v>45</v>
      </c>
      <c r="H32" s="19">
        <v>7200</v>
      </c>
    </row>
    <row r="33" spans="1:8">
      <c r="A33" s="12">
        <v>5</v>
      </c>
      <c r="B33" s="15" t="s">
        <v>49</v>
      </c>
      <c r="C33" s="17" t="s">
        <v>49</v>
      </c>
      <c r="D33" s="17" t="s">
        <v>35</v>
      </c>
      <c r="E33" s="18">
        <v>7</v>
      </c>
      <c r="F33" s="18">
        <v>7.7</v>
      </c>
      <c r="G33" s="12" t="s">
        <v>32</v>
      </c>
      <c r="H33" s="19">
        <v>468</v>
      </c>
    </row>
    <row r="34" spans="1:8">
      <c r="A34" s="12">
        <v>2</v>
      </c>
      <c r="B34" s="15" t="s">
        <v>50</v>
      </c>
      <c r="C34" s="17" t="s">
        <v>50</v>
      </c>
      <c r="D34" s="17" t="s">
        <v>35</v>
      </c>
      <c r="E34" s="18">
        <v>3.5</v>
      </c>
      <c r="F34" s="18">
        <v>3.8</v>
      </c>
      <c r="G34" s="12" t="s">
        <v>32</v>
      </c>
      <c r="H34" s="19">
        <v>947</v>
      </c>
    </row>
    <row r="35" spans="1:8">
      <c r="A35" s="12">
        <v>6</v>
      </c>
      <c r="B35" s="15" t="s">
        <v>51</v>
      </c>
      <c r="C35" s="17" t="s">
        <v>51</v>
      </c>
      <c r="D35" s="17" t="s">
        <v>35</v>
      </c>
      <c r="E35" s="18">
        <v>0.9</v>
      </c>
      <c r="F35" s="18">
        <v>1</v>
      </c>
      <c r="G35" s="12" t="s">
        <v>32</v>
      </c>
      <c r="H35" s="19">
        <v>3600</v>
      </c>
    </row>
    <row r="36" spans="1:8">
      <c r="A36" s="12">
        <v>170</v>
      </c>
      <c r="B36" s="15" t="s">
        <v>52</v>
      </c>
      <c r="C36" s="17" t="s">
        <v>52</v>
      </c>
      <c r="D36" s="17" t="s">
        <v>35</v>
      </c>
      <c r="E36" s="18">
        <v>11</v>
      </c>
      <c r="F36" s="18">
        <v>12.1</v>
      </c>
      <c r="G36" s="12" t="s">
        <v>40</v>
      </c>
      <c r="H36" s="19">
        <v>298</v>
      </c>
    </row>
    <row r="37" spans="1:8">
      <c r="A37" s="12">
        <v>16</v>
      </c>
      <c r="B37" s="15" t="s">
        <v>53</v>
      </c>
      <c r="C37" s="17" t="s">
        <v>53</v>
      </c>
      <c r="D37" s="17" t="s">
        <v>35</v>
      </c>
      <c r="E37" s="18">
        <v>8.8000000000000007</v>
      </c>
      <c r="F37" s="18">
        <v>9.6999999999999993</v>
      </c>
      <c r="G37" s="12" t="s">
        <v>32</v>
      </c>
      <c r="H37" s="19">
        <v>371</v>
      </c>
    </row>
    <row r="38" spans="1:8">
      <c r="A38" s="12"/>
      <c r="B38" s="15" t="s">
        <v>54</v>
      </c>
      <c r="C38" s="17" t="s">
        <v>54</v>
      </c>
      <c r="D38" s="17" t="s">
        <v>55</v>
      </c>
      <c r="E38" s="18">
        <v>4.2</v>
      </c>
      <c r="F38" s="18">
        <v>4.8</v>
      </c>
      <c r="G38" s="12" t="s">
        <v>40</v>
      </c>
      <c r="H38" s="19">
        <v>750</v>
      </c>
    </row>
    <row r="39" spans="1:8">
      <c r="A39" s="12">
        <v>54</v>
      </c>
      <c r="B39" s="15" t="s">
        <v>56</v>
      </c>
      <c r="C39" s="17" t="s">
        <v>56</v>
      </c>
      <c r="D39" s="17" t="s">
        <v>57</v>
      </c>
      <c r="E39" s="18">
        <v>18.100000000000001</v>
      </c>
      <c r="F39" s="18">
        <v>20.3</v>
      </c>
      <c r="G39" s="12" t="s">
        <v>38</v>
      </c>
      <c r="H39" s="19">
        <v>177</v>
      </c>
    </row>
    <row r="40" spans="1:8">
      <c r="A40" s="12">
        <v>15</v>
      </c>
      <c r="B40" s="15" t="s">
        <v>58</v>
      </c>
      <c r="C40" s="17" t="s">
        <v>59</v>
      </c>
      <c r="D40" s="17" t="s">
        <v>57</v>
      </c>
      <c r="E40" s="18">
        <v>15.3</v>
      </c>
      <c r="F40" s="18">
        <v>17.2</v>
      </c>
      <c r="G40" s="12" t="s">
        <v>38</v>
      </c>
      <c r="H40" s="19">
        <v>209</v>
      </c>
    </row>
    <row r="41" spans="1:8">
      <c r="A41" s="12">
        <v>14</v>
      </c>
      <c r="B41" s="15" t="s">
        <v>60</v>
      </c>
      <c r="C41" s="17" t="s">
        <v>60</v>
      </c>
      <c r="D41" s="17" t="s">
        <v>61</v>
      </c>
      <c r="E41" s="18">
        <v>11.1</v>
      </c>
      <c r="F41" s="18">
        <v>12.5</v>
      </c>
      <c r="G41" s="12" t="s">
        <v>38</v>
      </c>
      <c r="H41" s="19">
        <v>288</v>
      </c>
    </row>
    <row r="42" spans="1:8">
      <c r="A42" s="12"/>
      <c r="B42" s="20" t="s">
        <v>62</v>
      </c>
      <c r="C42" s="26" t="s">
        <v>62</v>
      </c>
      <c r="D42" s="26"/>
      <c r="E42" s="27"/>
      <c r="F42" s="27"/>
      <c r="G42" s="27"/>
      <c r="H42" s="27"/>
    </row>
    <row r="43" spans="1:8" ht="26.25">
      <c r="A43" s="12">
        <v>24</v>
      </c>
      <c r="B43" s="15" t="s">
        <v>63</v>
      </c>
      <c r="C43" s="17" t="s">
        <v>63</v>
      </c>
      <c r="D43" s="17" t="s">
        <v>64</v>
      </c>
      <c r="E43" s="18">
        <v>8.8000000000000007</v>
      </c>
      <c r="F43" s="18">
        <v>9.8000000000000007</v>
      </c>
      <c r="G43" s="12" t="s">
        <v>65</v>
      </c>
      <c r="H43" s="19">
        <v>367</v>
      </c>
    </row>
    <row r="44" spans="1:8" ht="26.25">
      <c r="A44" s="12">
        <v>26</v>
      </c>
      <c r="B44" s="15" t="s">
        <v>66</v>
      </c>
      <c r="C44" s="17" t="s">
        <v>67</v>
      </c>
      <c r="D44" s="17" t="s">
        <v>68</v>
      </c>
      <c r="E44" s="18">
        <v>19.399999999999999</v>
      </c>
      <c r="F44" s="18">
        <v>23.5</v>
      </c>
      <c r="G44" s="12" t="s">
        <v>45</v>
      </c>
      <c r="H44" s="19">
        <v>153</v>
      </c>
    </row>
    <row r="45" spans="1:8" ht="26.25">
      <c r="A45" s="12">
        <v>28</v>
      </c>
      <c r="B45" s="15" t="s">
        <v>69</v>
      </c>
      <c r="C45" s="17" t="s">
        <v>69</v>
      </c>
      <c r="D45" s="17" t="s">
        <v>70</v>
      </c>
      <c r="E45" s="18">
        <v>12</v>
      </c>
      <c r="F45" s="18">
        <v>13.7</v>
      </c>
      <c r="G45" s="12" t="s">
        <v>65</v>
      </c>
      <c r="H45" s="19">
        <v>263</v>
      </c>
    </row>
    <row r="46" spans="1:8">
      <c r="A46" s="12">
        <v>33</v>
      </c>
      <c r="B46" s="15" t="s">
        <v>71</v>
      </c>
      <c r="C46" s="17" t="s">
        <v>72</v>
      </c>
      <c r="D46" s="17" t="s">
        <v>73</v>
      </c>
      <c r="E46" s="18">
        <v>18.8</v>
      </c>
      <c r="F46" s="18">
        <v>20.9</v>
      </c>
      <c r="G46" s="12" t="s">
        <v>74</v>
      </c>
      <c r="H46" s="19">
        <v>172</v>
      </c>
    </row>
    <row r="47" spans="1:8">
      <c r="A47" s="21">
        <v>30</v>
      </c>
      <c r="B47" s="15" t="s">
        <v>75</v>
      </c>
      <c r="C47" s="17" t="s">
        <v>75</v>
      </c>
      <c r="D47" s="17" t="s">
        <v>76</v>
      </c>
      <c r="E47" s="18">
        <v>11.8</v>
      </c>
      <c r="F47" s="18">
        <v>13.2</v>
      </c>
      <c r="G47" s="12" t="s">
        <v>77</v>
      </c>
      <c r="H47" s="19">
        <v>273</v>
      </c>
    </row>
    <row r="48" spans="1:8" ht="26.25">
      <c r="A48" s="21">
        <v>31</v>
      </c>
      <c r="B48" s="15" t="s">
        <v>78</v>
      </c>
      <c r="C48" s="17" t="s">
        <v>78</v>
      </c>
      <c r="D48" s="17" t="s">
        <v>70</v>
      </c>
      <c r="E48" s="18">
        <v>9.1</v>
      </c>
      <c r="F48" s="18">
        <v>10.199999999999999</v>
      </c>
      <c r="G48" s="12" t="s">
        <v>77</v>
      </c>
      <c r="H48" s="19">
        <v>353</v>
      </c>
    </row>
    <row r="49" spans="1:8">
      <c r="A49" s="21">
        <v>34</v>
      </c>
      <c r="B49" s="15" t="s">
        <v>79</v>
      </c>
      <c r="C49" s="17" t="s">
        <v>79</v>
      </c>
      <c r="D49" s="17" t="s">
        <v>76</v>
      </c>
      <c r="E49" s="18">
        <v>12.9</v>
      </c>
      <c r="F49" s="18">
        <v>14.3</v>
      </c>
      <c r="G49" s="12" t="s">
        <v>77</v>
      </c>
      <c r="H49" s="19">
        <v>252</v>
      </c>
    </row>
    <row r="50" spans="1:8" ht="26.25">
      <c r="A50" s="21">
        <v>36</v>
      </c>
      <c r="B50" s="15" t="s">
        <v>80</v>
      </c>
      <c r="C50" s="17" t="s">
        <v>80</v>
      </c>
      <c r="D50" s="17" t="s">
        <v>70</v>
      </c>
      <c r="E50" s="18">
        <v>11</v>
      </c>
      <c r="F50" s="18">
        <v>12.4</v>
      </c>
      <c r="G50" s="12" t="s">
        <v>77</v>
      </c>
      <c r="H50" s="19">
        <v>290</v>
      </c>
    </row>
    <row r="51" spans="1:8">
      <c r="A51" s="21">
        <v>37</v>
      </c>
      <c r="B51" s="15" t="s">
        <v>81</v>
      </c>
      <c r="C51" s="17" t="s">
        <v>81</v>
      </c>
      <c r="D51" s="17" t="s">
        <v>76</v>
      </c>
      <c r="E51" s="18">
        <v>12.8</v>
      </c>
      <c r="F51" s="18">
        <v>14.3</v>
      </c>
      <c r="G51" s="12" t="s">
        <v>65</v>
      </c>
      <c r="H51" s="19">
        <v>252</v>
      </c>
    </row>
    <row r="52" spans="1:8" ht="26.25">
      <c r="A52" s="21">
        <v>38</v>
      </c>
      <c r="B52" s="15" t="s">
        <v>82</v>
      </c>
      <c r="C52" s="17" t="s">
        <v>82</v>
      </c>
      <c r="D52" s="17" t="s">
        <v>70</v>
      </c>
      <c r="E52" s="18">
        <v>9.8000000000000007</v>
      </c>
      <c r="F52" s="18">
        <v>10.9</v>
      </c>
      <c r="G52" s="12" t="s">
        <v>77</v>
      </c>
      <c r="H52" s="19">
        <v>330</v>
      </c>
    </row>
    <row r="53" spans="1:8" ht="26.25">
      <c r="A53" s="21">
        <v>39</v>
      </c>
      <c r="B53" s="15" t="s">
        <v>83</v>
      </c>
      <c r="C53" s="17" t="s">
        <v>84</v>
      </c>
      <c r="D53" s="17" t="s">
        <v>64</v>
      </c>
      <c r="E53" s="18">
        <v>29.9</v>
      </c>
      <c r="F53" s="18">
        <v>33.700000000000003</v>
      </c>
      <c r="G53" s="12" t="s">
        <v>85</v>
      </c>
      <c r="H53" s="19">
        <v>107</v>
      </c>
    </row>
    <row r="54" spans="1:8">
      <c r="A54" s="12"/>
      <c r="B54" s="20" t="s">
        <v>86</v>
      </c>
      <c r="C54" s="26" t="s">
        <v>86</v>
      </c>
      <c r="D54" s="26"/>
      <c r="E54" s="27"/>
      <c r="F54" s="27"/>
      <c r="G54" s="27"/>
      <c r="H54" s="27"/>
    </row>
    <row r="55" spans="1:8">
      <c r="A55" s="12"/>
      <c r="B55" s="15" t="s">
        <v>87</v>
      </c>
      <c r="C55" s="17" t="s">
        <v>87</v>
      </c>
      <c r="D55" s="17" t="s">
        <v>88</v>
      </c>
      <c r="E55" s="18">
        <v>1.4</v>
      </c>
      <c r="F55" s="18">
        <v>1.4</v>
      </c>
      <c r="G55" s="12" t="s">
        <v>32</v>
      </c>
      <c r="H55" s="19">
        <v>2571</v>
      </c>
    </row>
    <row r="56" spans="1:8">
      <c r="A56" s="12"/>
      <c r="B56" s="15" t="s">
        <v>89</v>
      </c>
      <c r="C56" s="17" t="s">
        <v>90</v>
      </c>
      <c r="D56" s="17" t="s">
        <v>88</v>
      </c>
      <c r="E56" s="18">
        <v>6.7</v>
      </c>
      <c r="F56" s="18">
        <v>6.7</v>
      </c>
      <c r="G56" s="12" t="s">
        <v>32</v>
      </c>
      <c r="H56" s="19">
        <v>537</v>
      </c>
    </row>
    <row r="57" spans="1:8">
      <c r="A57" s="12"/>
      <c r="B57" s="15" t="s">
        <v>91</v>
      </c>
      <c r="C57" s="17" t="s">
        <v>91</v>
      </c>
      <c r="D57" s="17" t="s">
        <v>35</v>
      </c>
      <c r="E57" s="18">
        <v>1.4</v>
      </c>
      <c r="F57" s="18">
        <v>1.6</v>
      </c>
      <c r="G57" s="12" t="s">
        <v>32</v>
      </c>
      <c r="H57" s="19">
        <v>2250</v>
      </c>
    </row>
    <row r="58" spans="1:8">
      <c r="A58" s="12">
        <v>41</v>
      </c>
      <c r="B58" s="15" t="s">
        <v>92</v>
      </c>
      <c r="C58" s="17" t="s">
        <v>92</v>
      </c>
      <c r="D58" s="17" t="s">
        <v>35</v>
      </c>
      <c r="E58" s="18">
        <v>2.9</v>
      </c>
      <c r="F58" s="18">
        <v>3.2</v>
      </c>
      <c r="G58" s="12" t="s">
        <v>32</v>
      </c>
      <c r="H58" s="19">
        <v>1125</v>
      </c>
    </row>
    <row r="59" spans="1:8">
      <c r="A59" s="21">
        <v>21</v>
      </c>
      <c r="B59" s="15" t="s">
        <v>93</v>
      </c>
      <c r="C59" s="17" t="s">
        <v>93</v>
      </c>
      <c r="D59" s="17" t="s">
        <v>35</v>
      </c>
      <c r="E59" s="18">
        <v>2.9</v>
      </c>
      <c r="F59" s="18">
        <v>3.2</v>
      </c>
      <c r="G59" s="12" t="s">
        <v>32</v>
      </c>
      <c r="H59" s="19">
        <v>1125</v>
      </c>
    </row>
    <row r="60" spans="1:8">
      <c r="A60" s="21">
        <v>23</v>
      </c>
      <c r="B60" s="15" t="s">
        <v>94</v>
      </c>
      <c r="C60" s="17" t="s">
        <v>95</v>
      </c>
      <c r="D60" s="17" t="s">
        <v>96</v>
      </c>
      <c r="E60" s="18">
        <v>13.3</v>
      </c>
      <c r="F60" s="18">
        <v>14.7</v>
      </c>
      <c r="G60" s="12" t="s">
        <v>74</v>
      </c>
      <c r="H60" s="19">
        <v>245</v>
      </c>
    </row>
    <row r="61" spans="1:8">
      <c r="A61" s="21">
        <v>22</v>
      </c>
      <c r="B61" s="15" t="s">
        <v>97</v>
      </c>
      <c r="C61" s="17" t="s">
        <v>97</v>
      </c>
      <c r="D61" s="17" t="s">
        <v>98</v>
      </c>
      <c r="E61" s="18">
        <v>7.6</v>
      </c>
      <c r="F61" s="18">
        <v>8.5</v>
      </c>
      <c r="G61" s="12" t="s">
        <v>45</v>
      </c>
      <c r="H61" s="19">
        <v>424</v>
      </c>
    </row>
    <row r="62" spans="1:8">
      <c r="A62" s="12">
        <v>42</v>
      </c>
      <c r="B62" s="15" t="s">
        <v>99</v>
      </c>
      <c r="C62" s="17" t="s">
        <v>99</v>
      </c>
      <c r="D62" s="17" t="s">
        <v>76</v>
      </c>
      <c r="E62" s="18">
        <v>16.399999999999999</v>
      </c>
      <c r="F62" s="18">
        <v>18.3</v>
      </c>
      <c r="G62" s="12" t="s">
        <v>77</v>
      </c>
      <c r="H62" s="19">
        <v>197</v>
      </c>
    </row>
    <row r="63" spans="1:8" ht="26.25">
      <c r="A63" s="12">
        <v>43</v>
      </c>
      <c r="B63" s="15" t="s">
        <v>100</v>
      </c>
      <c r="C63" s="17" t="s">
        <v>100</v>
      </c>
      <c r="D63" s="17" t="s">
        <v>70</v>
      </c>
      <c r="E63" s="18">
        <v>12</v>
      </c>
      <c r="F63" s="18">
        <v>13.6</v>
      </c>
      <c r="G63" s="12" t="s">
        <v>77</v>
      </c>
      <c r="H63" s="19">
        <v>265</v>
      </c>
    </row>
    <row r="64" spans="1:8">
      <c r="A64" s="21">
        <v>25</v>
      </c>
      <c r="B64" s="15" t="s">
        <v>101</v>
      </c>
      <c r="C64" s="17" t="s">
        <v>102</v>
      </c>
      <c r="D64" s="17" t="s">
        <v>35</v>
      </c>
      <c r="E64" s="18">
        <v>2.6</v>
      </c>
      <c r="F64" s="18">
        <v>2.9</v>
      </c>
      <c r="G64" s="12" t="s">
        <v>32</v>
      </c>
      <c r="H64" s="19">
        <v>1241</v>
      </c>
    </row>
    <row r="65" spans="1:8" ht="26.25">
      <c r="A65" s="12">
        <v>68</v>
      </c>
      <c r="B65" s="15" t="s">
        <v>103</v>
      </c>
      <c r="C65" s="17" t="s">
        <v>104</v>
      </c>
      <c r="D65" s="17" t="s">
        <v>98</v>
      </c>
      <c r="E65" s="18">
        <v>33.200000000000003</v>
      </c>
      <c r="F65" s="18">
        <v>36.9</v>
      </c>
      <c r="G65" s="12" t="s">
        <v>65</v>
      </c>
      <c r="H65" s="19">
        <v>98</v>
      </c>
    </row>
    <row r="66" spans="1:8" ht="26.25">
      <c r="A66" s="12">
        <v>44</v>
      </c>
      <c r="B66" s="15" t="s">
        <v>105</v>
      </c>
      <c r="C66" s="17" t="s">
        <v>105</v>
      </c>
      <c r="D66" s="17" t="s">
        <v>106</v>
      </c>
      <c r="E66" s="18">
        <v>34.9</v>
      </c>
      <c r="F66" s="18">
        <v>39.6</v>
      </c>
      <c r="G66" s="12" t="s">
        <v>85</v>
      </c>
      <c r="H66" s="19">
        <v>91</v>
      </c>
    </row>
    <row r="67" spans="1:8">
      <c r="A67" s="12">
        <v>90</v>
      </c>
      <c r="B67" s="15" t="s">
        <v>107</v>
      </c>
      <c r="C67" s="17" t="s">
        <v>107</v>
      </c>
      <c r="D67" s="17" t="s">
        <v>35</v>
      </c>
      <c r="E67" s="18">
        <v>42.5</v>
      </c>
      <c r="F67" s="18">
        <v>47</v>
      </c>
      <c r="G67" s="12" t="s">
        <v>38</v>
      </c>
      <c r="H67" s="19">
        <v>77</v>
      </c>
    </row>
    <row r="68" spans="1:8" ht="26.25">
      <c r="A68" s="12">
        <v>91</v>
      </c>
      <c r="B68" s="15" t="s">
        <v>108</v>
      </c>
      <c r="C68" s="17" t="s">
        <v>109</v>
      </c>
      <c r="D68" s="17" t="s">
        <v>98</v>
      </c>
      <c r="E68" s="18">
        <v>26.1</v>
      </c>
      <c r="F68" s="18">
        <v>28.8</v>
      </c>
      <c r="G68" s="12" t="s">
        <v>45</v>
      </c>
      <c r="H68" s="19">
        <v>125</v>
      </c>
    </row>
    <row r="69" spans="1:8">
      <c r="A69" s="22">
        <v>29</v>
      </c>
      <c r="B69" s="23" t="s">
        <v>110</v>
      </c>
      <c r="C69" s="17" t="s">
        <v>110</v>
      </c>
      <c r="D69" s="17" t="s">
        <v>35</v>
      </c>
      <c r="E69" s="18">
        <v>6.7</v>
      </c>
      <c r="F69" s="18">
        <v>7.4</v>
      </c>
      <c r="G69" s="12" t="s">
        <v>32</v>
      </c>
      <c r="H69" s="19">
        <v>486</v>
      </c>
    </row>
    <row r="70" spans="1:8">
      <c r="A70" s="12"/>
      <c r="B70" s="20" t="s">
        <v>111</v>
      </c>
      <c r="C70" s="26" t="s">
        <v>111</v>
      </c>
      <c r="D70" s="26"/>
      <c r="E70" s="27"/>
      <c r="F70" s="27"/>
      <c r="G70" s="27"/>
      <c r="H70" s="27"/>
    </row>
    <row r="71" spans="1:8">
      <c r="A71" s="21">
        <v>47</v>
      </c>
      <c r="B71" s="15" t="s">
        <v>112</v>
      </c>
      <c r="C71" s="17" t="s">
        <v>112</v>
      </c>
      <c r="D71" s="17" t="s">
        <v>76</v>
      </c>
      <c r="E71" s="18">
        <v>12.1</v>
      </c>
      <c r="F71" s="18">
        <v>13.5</v>
      </c>
      <c r="G71" s="12" t="s">
        <v>77</v>
      </c>
      <c r="H71" s="19">
        <v>267</v>
      </c>
    </row>
    <row r="72" spans="1:8" ht="26.25">
      <c r="A72" s="22">
        <v>48</v>
      </c>
      <c r="B72" s="23" t="s">
        <v>113</v>
      </c>
      <c r="C72" s="17" t="s">
        <v>113</v>
      </c>
      <c r="D72" s="17" t="s">
        <v>70</v>
      </c>
      <c r="E72" s="18">
        <v>9.8000000000000007</v>
      </c>
      <c r="F72" s="18">
        <v>11.2</v>
      </c>
      <c r="G72" s="12" t="s">
        <v>77</v>
      </c>
      <c r="H72" s="19">
        <v>321</v>
      </c>
    </row>
    <row r="73" spans="1:8">
      <c r="A73" s="12"/>
      <c r="B73" s="20" t="s">
        <v>114</v>
      </c>
      <c r="C73" s="26" t="s">
        <v>114</v>
      </c>
      <c r="D73" s="26"/>
      <c r="E73" s="27"/>
      <c r="F73" s="27"/>
      <c r="G73" s="27"/>
      <c r="H73" s="27"/>
    </row>
    <row r="74" spans="1:8">
      <c r="A74" s="22">
        <v>49</v>
      </c>
      <c r="B74" s="23" t="s">
        <v>115</v>
      </c>
      <c r="C74" s="17" t="s">
        <v>115</v>
      </c>
      <c r="D74" s="17" t="s">
        <v>76</v>
      </c>
      <c r="E74" s="18">
        <v>15.5</v>
      </c>
      <c r="F74" s="18">
        <v>17.2</v>
      </c>
      <c r="G74" s="12" t="s">
        <v>65</v>
      </c>
      <c r="H74" s="19">
        <v>209</v>
      </c>
    </row>
    <row r="75" spans="1:8" ht="26.25">
      <c r="A75" s="21">
        <v>50</v>
      </c>
      <c r="B75" s="15" t="s">
        <v>116</v>
      </c>
      <c r="C75" s="17" t="s">
        <v>116</v>
      </c>
      <c r="D75" s="17" t="s">
        <v>70</v>
      </c>
      <c r="E75" s="18">
        <v>13</v>
      </c>
      <c r="F75" s="18">
        <v>14.8</v>
      </c>
      <c r="G75" s="12" t="s">
        <v>117</v>
      </c>
      <c r="H75" s="19">
        <v>243</v>
      </c>
    </row>
    <row r="76" spans="1:8">
      <c r="A76" s="12"/>
      <c r="B76" s="20" t="s">
        <v>118</v>
      </c>
      <c r="C76" s="26" t="s">
        <v>118</v>
      </c>
      <c r="D76" s="26"/>
      <c r="E76" s="27"/>
      <c r="F76" s="27"/>
      <c r="G76" s="27"/>
      <c r="H76" s="27"/>
    </row>
    <row r="77" spans="1:8">
      <c r="A77" s="21" t="s">
        <v>119</v>
      </c>
      <c r="B77" s="15" t="s">
        <v>120</v>
      </c>
      <c r="C77" s="17" t="s">
        <v>121</v>
      </c>
      <c r="D77" s="17" t="s">
        <v>35</v>
      </c>
      <c r="E77" s="18">
        <v>30.6</v>
      </c>
      <c r="F77" s="18">
        <v>33.799999999999997</v>
      </c>
      <c r="G77" s="12" t="s">
        <v>122</v>
      </c>
      <c r="H77" s="19">
        <v>107</v>
      </c>
    </row>
    <row r="78" spans="1:8">
      <c r="A78" s="12">
        <v>45</v>
      </c>
      <c r="B78" s="15" t="s">
        <v>123</v>
      </c>
      <c r="C78" s="17" t="s">
        <v>124</v>
      </c>
      <c r="D78" s="17" t="s">
        <v>76</v>
      </c>
      <c r="E78" s="18">
        <v>39</v>
      </c>
      <c r="F78" s="18">
        <v>43.6</v>
      </c>
      <c r="G78" s="12" t="s">
        <v>65</v>
      </c>
      <c r="H78" s="19">
        <v>83</v>
      </c>
    </row>
    <row r="79" spans="1:8" ht="17" customHeight="1">
      <c r="A79" s="12">
        <v>46</v>
      </c>
      <c r="B79" s="15" t="s">
        <v>125</v>
      </c>
      <c r="C79" s="17" t="s">
        <v>126</v>
      </c>
      <c r="D79" s="17" t="s">
        <v>70</v>
      </c>
      <c r="E79" s="18">
        <v>35.700000000000003</v>
      </c>
      <c r="F79" s="18">
        <v>40.5</v>
      </c>
      <c r="G79" s="12" t="s">
        <v>117</v>
      </c>
      <c r="H79" s="19">
        <v>89</v>
      </c>
    </row>
    <row r="80" spans="1:8">
      <c r="A80" s="12">
        <v>70</v>
      </c>
      <c r="B80" s="15" t="s">
        <v>127</v>
      </c>
      <c r="C80" s="17" t="s">
        <v>127</v>
      </c>
      <c r="D80" s="17" t="s">
        <v>76</v>
      </c>
      <c r="E80" s="18">
        <v>21.7</v>
      </c>
      <c r="F80" s="18">
        <v>24.2</v>
      </c>
      <c r="G80" s="12" t="s">
        <v>65</v>
      </c>
      <c r="H80" s="19">
        <v>149</v>
      </c>
    </row>
    <row r="81" spans="1:8" ht="26.25">
      <c r="A81" s="12">
        <v>71</v>
      </c>
      <c r="B81" s="15" t="s">
        <v>128</v>
      </c>
      <c r="C81" s="17" t="s">
        <v>128</v>
      </c>
      <c r="D81" s="17" t="s">
        <v>70</v>
      </c>
      <c r="E81" s="18">
        <v>17.8</v>
      </c>
      <c r="F81" s="18">
        <v>20.100000000000001</v>
      </c>
      <c r="G81" s="12" t="s">
        <v>117</v>
      </c>
      <c r="H81" s="19">
        <v>179</v>
      </c>
    </row>
    <row r="82" spans="1:8">
      <c r="A82" s="12">
        <v>51</v>
      </c>
      <c r="B82" s="15" t="s">
        <v>129</v>
      </c>
      <c r="C82" s="17" t="s">
        <v>129</v>
      </c>
      <c r="D82" s="17" t="s">
        <v>76</v>
      </c>
      <c r="E82" s="18">
        <v>37.6</v>
      </c>
      <c r="F82" s="18">
        <v>42.1</v>
      </c>
      <c r="G82" s="12" t="s">
        <v>65</v>
      </c>
      <c r="H82" s="19">
        <v>86</v>
      </c>
    </row>
    <row r="83" spans="1:8" ht="26.25">
      <c r="A83" s="12">
        <v>52</v>
      </c>
      <c r="B83" s="15" t="s">
        <v>130</v>
      </c>
      <c r="C83" s="17" t="s">
        <v>130</v>
      </c>
      <c r="D83" s="17" t="s">
        <v>64</v>
      </c>
      <c r="E83" s="18">
        <v>25.3</v>
      </c>
      <c r="F83" s="18">
        <v>28.6</v>
      </c>
      <c r="G83" s="12" t="s">
        <v>65</v>
      </c>
      <c r="H83" s="19">
        <v>126</v>
      </c>
    </row>
    <row r="84" spans="1:8">
      <c r="A84" s="21">
        <v>56</v>
      </c>
      <c r="B84" s="15" t="s">
        <v>131</v>
      </c>
      <c r="C84" s="17" t="s">
        <v>131</v>
      </c>
      <c r="D84" s="17" t="s">
        <v>35</v>
      </c>
      <c r="E84" s="18">
        <v>11.8</v>
      </c>
      <c r="F84" s="18">
        <v>13</v>
      </c>
      <c r="G84" s="12" t="s">
        <v>74</v>
      </c>
      <c r="H84" s="19">
        <v>277</v>
      </c>
    </row>
    <row r="85" spans="1:8" ht="26.25">
      <c r="A85" s="12">
        <v>53</v>
      </c>
      <c r="B85" s="15" t="s">
        <v>132</v>
      </c>
      <c r="C85" s="17" t="s">
        <v>132</v>
      </c>
      <c r="D85" s="17" t="s">
        <v>133</v>
      </c>
      <c r="E85" s="18">
        <v>34.799999999999997</v>
      </c>
      <c r="F85" s="18">
        <v>39.200000000000003</v>
      </c>
      <c r="G85" s="12" t="s">
        <v>65</v>
      </c>
      <c r="H85" s="19">
        <v>92</v>
      </c>
    </row>
    <row r="86" spans="1:8">
      <c r="A86" s="21">
        <v>58</v>
      </c>
      <c r="B86" s="15" t="s">
        <v>134</v>
      </c>
      <c r="C86" s="17" t="s">
        <v>134</v>
      </c>
      <c r="D86" s="17" t="s">
        <v>98</v>
      </c>
      <c r="E86" s="18">
        <v>17.3</v>
      </c>
      <c r="F86" s="18">
        <v>19.399999999999999</v>
      </c>
      <c r="G86" s="12" t="s">
        <v>65</v>
      </c>
      <c r="H86" s="19">
        <v>186</v>
      </c>
    </row>
    <row r="87" spans="1:8">
      <c r="A87" s="21">
        <v>59</v>
      </c>
      <c r="B87" s="15" t="s">
        <v>135</v>
      </c>
      <c r="C87" s="17" t="s">
        <v>135</v>
      </c>
      <c r="D87" s="17" t="s">
        <v>76</v>
      </c>
      <c r="E87" s="18">
        <v>8.1999999999999993</v>
      </c>
      <c r="F87" s="18">
        <v>9.1999999999999993</v>
      </c>
      <c r="G87" s="12" t="s">
        <v>45</v>
      </c>
      <c r="H87" s="19">
        <v>391</v>
      </c>
    </row>
    <row r="88" spans="1:8" ht="26.25">
      <c r="A88" s="21">
        <v>60</v>
      </c>
      <c r="B88" s="15" t="s">
        <v>136</v>
      </c>
      <c r="C88" s="17" t="s">
        <v>136</v>
      </c>
      <c r="D88" s="17" t="s">
        <v>70</v>
      </c>
      <c r="E88" s="18">
        <v>10.8</v>
      </c>
      <c r="F88" s="18">
        <v>12.1</v>
      </c>
      <c r="G88" s="12" t="s">
        <v>65</v>
      </c>
      <c r="H88" s="19">
        <v>298</v>
      </c>
    </row>
    <row r="89" spans="1:8">
      <c r="A89" s="21">
        <v>61</v>
      </c>
      <c r="B89" s="15" t="s">
        <v>137</v>
      </c>
      <c r="C89" s="17" t="s">
        <v>137</v>
      </c>
      <c r="D89" s="17" t="s">
        <v>98</v>
      </c>
      <c r="E89" s="18">
        <v>16.2</v>
      </c>
      <c r="F89" s="18">
        <v>17.899999999999999</v>
      </c>
      <c r="G89" s="12" t="s">
        <v>45</v>
      </c>
      <c r="H89" s="19">
        <v>201</v>
      </c>
    </row>
    <row r="90" spans="1:8">
      <c r="A90" s="21">
        <v>62</v>
      </c>
      <c r="B90" s="15" t="s">
        <v>138</v>
      </c>
      <c r="C90" s="17" t="s">
        <v>138</v>
      </c>
      <c r="D90" s="17" t="s">
        <v>98</v>
      </c>
      <c r="E90" s="18">
        <v>47.8</v>
      </c>
      <c r="F90" s="18">
        <v>53.6</v>
      </c>
      <c r="G90" s="12" t="s">
        <v>139</v>
      </c>
      <c r="H90" s="19">
        <v>67</v>
      </c>
    </row>
    <row r="91" spans="1:8">
      <c r="A91" s="21">
        <v>63</v>
      </c>
      <c r="B91" s="15" t="s">
        <v>140</v>
      </c>
      <c r="C91" s="17" t="s">
        <v>140</v>
      </c>
      <c r="D91" s="17" t="s">
        <v>98</v>
      </c>
      <c r="E91" s="18">
        <v>8</v>
      </c>
      <c r="F91" s="18">
        <v>8.9</v>
      </c>
      <c r="G91" s="12" t="s">
        <v>65</v>
      </c>
      <c r="H91" s="19">
        <v>404</v>
      </c>
    </row>
    <row r="92" spans="1:8">
      <c r="A92" s="21">
        <v>64</v>
      </c>
      <c r="B92" s="15" t="s">
        <v>141</v>
      </c>
      <c r="C92" s="17" t="s">
        <v>141</v>
      </c>
      <c r="D92" s="17" t="s">
        <v>98</v>
      </c>
      <c r="E92" s="18">
        <v>41.1</v>
      </c>
      <c r="F92" s="18">
        <v>46.3</v>
      </c>
      <c r="G92" s="12" t="s">
        <v>142</v>
      </c>
      <c r="H92" s="19">
        <v>78</v>
      </c>
    </row>
    <row r="93" spans="1:8">
      <c r="A93" s="21">
        <v>65</v>
      </c>
      <c r="B93" s="15" t="s">
        <v>143</v>
      </c>
      <c r="C93" s="17" t="s">
        <v>143</v>
      </c>
      <c r="D93" s="17" t="s">
        <v>76</v>
      </c>
      <c r="E93" s="18">
        <v>29.7</v>
      </c>
      <c r="F93" s="18">
        <v>33.200000000000003</v>
      </c>
      <c r="G93" s="12" t="s">
        <v>65</v>
      </c>
      <c r="H93" s="19">
        <v>108</v>
      </c>
    </row>
    <row r="94" spans="1:8">
      <c r="A94" s="21">
        <v>66</v>
      </c>
      <c r="B94" s="15" t="s">
        <v>144</v>
      </c>
      <c r="C94" s="17" t="s">
        <v>144</v>
      </c>
      <c r="D94" s="17" t="s">
        <v>35</v>
      </c>
      <c r="E94" s="18">
        <v>5.4</v>
      </c>
      <c r="F94" s="18">
        <v>6</v>
      </c>
      <c r="G94" s="12" t="s">
        <v>32</v>
      </c>
      <c r="H94" s="19">
        <v>600</v>
      </c>
    </row>
    <row r="95" spans="1:8" ht="26.25">
      <c r="A95" s="12">
        <v>55</v>
      </c>
      <c r="B95" s="15" t="s">
        <v>145</v>
      </c>
      <c r="C95" s="17" t="s">
        <v>146</v>
      </c>
      <c r="D95" s="17" t="s">
        <v>70</v>
      </c>
      <c r="E95" s="18">
        <v>27.8</v>
      </c>
      <c r="F95" s="18">
        <v>31.4</v>
      </c>
      <c r="G95" s="12" t="s">
        <v>65</v>
      </c>
      <c r="H95" s="19">
        <v>115</v>
      </c>
    </row>
    <row r="96" spans="1:8" ht="26.25">
      <c r="A96" s="12">
        <v>57</v>
      </c>
      <c r="B96" s="15" t="s">
        <v>147</v>
      </c>
      <c r="C96" s="17" t="s">
        <v>148</v>
      </c>
      <c r="D96" s="17" t="s">
        <v>35</v>
      </c>
      <c r="E96" s="18">
        <v>18.100000000000001</v>
      </c>
      <c r="F96" s="18">
        <v>20</v>
      </c>
      <c r="G96" s="12" t="s">
        <v>32</v>
      </c>
      <c r="H96" s="19">
        <v>180</v>
      </c>
    </row>
    <row r="97" spans="1:8">
      <c r="A97" s="12">
        <v>67</v>
      </c>
      <c r="B97" s="15" t="s">
        <v>149</v>
      </c>
      <c r="C97" s="17" t="s">
        <v>149</v>
      </c>
      <c r="D97" s="17" t="s">
        <v>98</v>
      </c>
      <c r="E97" s="18">
        <v>12.8</v>
      </c>
      <c r="F97" s="18">
        <v>14.3</v>
      </c>
      <c r="G97" s="12" t="s">
        <v>45</v>
      </c>
      <c r="H97" s="19">
        <v>252</v>
      </c>
    </row>
    <row r="98" spans="1:8">
      <c r="A98" s="12">
        <v>120</v>
      </c>
      <c r="B98" s="15" t="s">
        <v>150</v>
      </c>
      <c r="C98" s="17" t="s">
        <v>151</v>
      </c>
      <c r="D98" s="17" t="s">
        <v>35</v>
      </c>
      <c r="E98" s="18">
        <v>43.2</v>
      </c>
      <c r="F98" s="18">
        <v>47.7</v>
      </c>
      <c r="G98" s="12" t="s">
        <v>122</v>
      </c>
      <c r="H98" s="19">
        <v>75</v>
      </c>
    </row>
    <row r="100" spans="1:8">
      <c r="A100" s="45" t="s">
        <v>152</v>
      </c>
      <c r="B100" s="46"/>
      <c r="C100" s="47"/>
      <c r="D100" s="47"/>
      <c r="E100" s="46"/>
      <c r="F100" s="46"/>
      <c r="G100" s="46"/>
      <c r="H100" s="46"/>
    </row>
    <row r="101" spans="1:8">
      <c r="A101" s="45"/>
      <c r="B101" s="46"/>
      <c r="C101" s="47"/>
      <c r="D101" s="47"/>
      <c r="E101" s="46"/>
      <c r="F101" s="46"/>
      <c r="G101" s="46"/>
      <c r="H101" s="46"/>
    </row>
  </sheetData>
  <mergeCells count="22">
    <mergeCell ref="A101:H101"/>
    <mergeCell ref="F4:H19"/>
    <mergeCell ref="B16:E16"/>
    <mergeCell ref="B17:E17"/>
    <mergeCell ref="B18:E18"/>
    <mergeCell ref="B19:E19"/>
    <mergeCell ref="A100:H100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A1:H1"/>
    <mergeCell ref="A2:H2"/>
    <mergeCell ref="A3:H3"/>
    <mergeCell ref="B4:E4"/>
    <mergeCell ref="B5:E5"/>
  </mergeCells>
  <conditionalFormatting sqref="A1:A1048576">
    <cfRule type="duplicateValues" dxfId="7" priority="1"/>
    <cfRule type="duplicateValues" dxfId="6" priority="2"/>
  </conditionalFormatting>
  <conditionalFormatting sqref="C1:C1048576">
    <cfRule type="duplicateValues" dxfId="5" priority="3"/>
  </conditionalFormatting>
  <printOptions horizontalCentered="1"/>
  <pageMargins left="7.9166666666666705E-2" right="7.9166666666666705E-2" top="0.39652777777777798" bottom="0.39652777777777798" header="0.19791666666666699" footer="0.19791666666666699"/>
  <pageSetup paperSize="9" scale="91" orientation="portrait" r:id="rId1"/>
  <headerFooter>
    <oddFooter>&amp;R&amp;D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126"/>
  <sheetViews>
    <sheetView view="pageBreakPreview" zoomScaleNormal="100" workbookViewId="0">
      <selection activeCell="A11" sqref="A11"/>
    </sheetView>
  </sheetViews>
  <sheetFormatPr defaultColWidth="9" defaultRowHeight="13.15"/>
  <cols>
    <col min="1" max="1" width="9.59765625" style="2" customWidth="1"/>
    <col min="2" max="2" width="28.59765625" style="3" customWidth="1"/>
    <col min="3" max="3" width="35.1328125" style="3" customWidth="1"/>
    <col min="4" max="4" width="14.73046875" style="1" customWidth="1"/>
    <col min="5" max="8" width="7.73046875" style="3" customWidth="1"/>
    <col min="9" max="98" width="9" style="3"/>
    <col min="99" max="99" width="59.59765625" style="3" customWidth="1"/>
    <col min="100" max="16384" width="9" style="3"/>
  </cols>
  <sheetData>
    <row r="1" spans="1:99" ht="25.5">
      <c r="A1" s="28" t="s">
        <v>0</v>
      </c>
      <c r="B1" s="28"/>
      <c r="C1" s="28"/>
      <c r="D1" s="29"/>
      <c r="E1" s="28"/>
      <c r="F1" s="28"/>
      <c r="G1" s="28"/>
      <c r="H1" s="28"/>
    </row>
    <row r="2" spans="1:99" ht="21">
      <c r="A2" s="30" t="s">
        <v>1</v>
      </c>
      <c r="B2" s="30"/>
      <c r="C2" s="30"/>
      <c r="D2" s="31"/>
      <c r="E2" s="30"/>
      <c r="F2" s="30"/>
      <c r="G2" s="30"/>
      <c r="H2" s="30"/>
    </row>
    <row r="3" spans="1:99">
      <c r="A3" s="32" t="s">
        <v>2</v>
      </c>
      <c r="B3" s="32"/>
      <c r="C3" s="32"/>
      <c r="D3" s="33"/>
      <c r="E3" s="32"/>
      <c r="F3" s="32"/>
      <c r="G3" s="32"/>
      <c r="H3" s="32"/>
    </row>
    <row r="4" spans="1:99">
      <c r="A4" s="6" t="s">
        <v>3</v>
      </c>
      <c r="B4" s="34" t="s">
        <v>4</v>
      </c>
      <c r="C4" s="49"/>
      <c r="D4" s="35"/>
      <c r="E4" s="36"/>
      <c r="F4" s="48"/>
      <c r="G4" s="48"/>
      <c r="H4" s="48"/>
    </row>
    <row r="5" spans="1:99">
      <c r="A5" s="6" t="s">
        <v>5</v>
      </c>
      <c r="B5" s="37" t="s">
        <v>6</v>
      </c>
      <c r="C5" s="50"/>
      <c r="D5" s="38"/>
      <c r="E5" s="39"/>
      <c r="F5" s="48"/>
      <c r="G5" s="48"/>
      <c r="H5" s="48"/>
    </row>
    <row r="6" spans="1:99">
      <c r="A6" s="6" t="s">
        <v>7</v>
      </c>
      <c r="B6" s="34" t="s">
        <v>4</v>
      </c>
      <c r="C6" s="49"/>
      <c r="D6" s="35"/>
      <c r="E6" s="36"/>
      <c r="F6" s="48"/>
      <c r="G6" s="48"/>
      <c r="H6" s="48"/>
    </row>
    <row r="7" spans="1:99" ht="24" customHeight="1">
      <c r="A7" s="6" t="s">
        <v>8</v>
      </c>
      <c r="B7" s="40" t="s">
        <v>9</v>
      </c>
      <c r="C7" s="50"/>
      <c r="D7" s="38"/>
      <c r="E7" s="41"/>
      <c r="F7" s="48"/>
      <c r="G7" s="48"/>
      <c r="H7" s="48"/>
      <c r="CU7" s="1"/>
    </row>
    <row r="8" spans="1:99" ht="12" customHeight="1">
      <c r="A8" s="6" t="s">
        <v>10</v>
      </c>
      <c r="B8" s="40"/>
      <c r="C8" s="50"/>
      <c r="D8" s="38"/>
      <c r="E8" s="41"/>
      <c r="F8" s="48"/>
      <c r="G8" s="48"/>
      <c r="H8" s="48"/>
      <c r="CU8" s="1"/>
    </row>
    <row r="9" spans="1:99">
      <c r="A9" s="6" t="s">
        <v>11</v>
      </c>
      <c r="B9" s="37"/>
      <c r="C9" s="50"/>
      <c r="D9" s="38"/>
      <c r="E9" s="39"/>
      <c r="F9" s="48"/>
      <c r="G9" s="48"/>
      <c r="H9" s="48"/>
    </row>
    <row r="10" spans="1:99" ht="26.25">
      <c r="A10" s="8" t="s">
        <v>12</v>
      </c>
      <c r="B10" s="37">
        <f>SUM(F44:F76,F81:F84,F85:F100)</f>
        <v>962.2</v>
      </c>
      <c r="C10" s="50"/>
      <c r="D10" s="38"/>
      <c r="E10" s="39"/>
      <c r="F10" s="48"/>
      <c r="G10" s="48"/>
      <c r="H10" s="48"/>
    </row>
    <row r="11" spans="1:99" ht="16.05" customHeight="1">
      <c r="A11" s="8" t="s">
        <v>13</v>
      </c>
      <c r="B11" s="37">
        <f>37800/B10</f>
        <v>39.284971939305798</v>
      </c>
      <c r="C11" s="50"/>
      <c r="D11" s="38"/>
      <c r="E11" s="39"/>
      <c r="F11" s="48"/>
      <c r="G11" s="48"/>
      <c r="H11" s="48"/>
    </row>
    <row r="12" spans="1:99" hidden="1">
      <c r="A12" s="6" t="s">
        <v>14</v>
      </c>
      <c r="B12" s="37"/>
      <c r="C12" s="50"/>
      <c r="D12" s="38"/>
      <c r="E12" s="39"/>
      <c r="F12" s="48"/>
      <c r="G12" s="48"/>
      <c r="H12" s="48"/>
    </row>
    <row r="13" spans="1:99" hidden="1">
      <c r="A13" s="6" t="s">
        <v>15</v>
      </c>
      <c r="B13" s="42"/>
      <c r="C13" s="51"/>
      <c r="D13" s="43"/>
      <c r="E13" s="44"/>
      <c r="F13" s="48"/>
      <c r="G13" s="48"/>
      <c r="H13" s="48"/>
    </row>
    <row r="14" spans="1:99" ht="26.25" hidden="1">
      <c r="A14" s="8" t="s">
        <v>16</v>
      </c>
      <c r="B14" s="37"/>
      <c r="C14" s="50"/>
      <c r="D14" s="38"/>
      <c r="E14" s="39"/>
      <c r="F14" s="48"/>
      <c r="G14" s="48"/>
      <c r="H14" s="48"/>
    </row>
    <row r="15" spans="1:99" ht="26.25" hidden="1">
      <c r="A15" s="8" t="s">
        <v>17</v>
      </c>
      <c r="B15" s="37"/>
      <c r="C15" s="50"/>
      <c r="D15" s="38"/>
      <c r="E15" s="39"/>
      <c r="F15" s="48"/>
      <c r="G15" s="48"/>
      <c r="H15" s="48"/>
    </row>
    <row r="16" spans="1:99" ht="26.25" hidden="1">
      <c r="A16" s="8" t="s">
        <v>18</v>
      </c>
      <c r="B16" s="37"/>
      <c r="C16" s="50"/>
      <c r="D16" s="38"/>
      <c r="E16" s="39"/>
      <c r="F16" s="48"/>
      <c r="G16" s="48"/>
      <c r="H16" s="48"/>
    </row>
    <row r="17" spans="1:99" hidden="1">
      <c r="A17" s="8" t="s">
        <v>19</v>
      </c>
      <c r="B17" s="37"/>
      <c r="C17" s="50"/>
      <c r="D17" s="38"/>
      <c r="E17" s="39"/>
      <c r="F17" s="48"/>
      <c r="G17" s="48"/>
      <c r="H17" s="48"/>
    </row>
    <row r="18" spans="1:99" ht="12" hidden="1" customHeight="1">
      <c r="A18" s="6" t="s">
        <v>20</v>
      </c>
      <c r="B18" s="40"/>
      <c r="C18" s="50"/>
      <c r="D18" s="38"/>
      <c r="E18" s="41"/>
      <c r="F18" s="48"/>
      <c r="G18" s="48"/>
      <c r="H18" s="48"/>
      <c r="CU18" s="1"/>
    </row>
    <row r="19" spans="1:99" hidden="1">
      <c r="A19" s="6" t="s">
        <v>21</v>
      </c>
      <c r="B19" s="37"/>
      <c r="C19" s="50"/>
      <c r="D19" s="38"/>
      <c r="E19" s="39"/>
      <c r="F19" s="48"/>
      <c r="G19" s="48"/>
      <c r="H19" s="48"/>
    </row>
    <row r="20" spans="1:99" ht="26.25">
      <c r="A20" s="9" t="s">
        <v>22</v>
      </c>
      <c r="B20" s="10" t="s">
        <v>23</v>
      </c>
      <c r="C20" s="11" t="s">
        <v>23</v>
      </c>
      <c r="D20" s="10" t="s">
        <v>24</v>
      </c>
      <c r="E20" s="10" t="s">
        <v>25</v>
      </c>
      <c r="F20" s="10" t="s">
        <v>26</v>
      </c>
      <c r="G20" s="10" t="s">
        <v>27</v>
      </c>
      <c r="H20" s="10" t="s">
        <v>28</v>
      </c>
    </row>
    <row r="21" spans="1:99" hidden="1">
      <c r="A21" s="12"/>
      <c r="B21" s="13" t="s">
        <v>29</v>
      </c>
      <c r="C21" s="7" t="s">
        <v>29</v>
      </c>
      <c r="D21" s="14"/>
      <c r="E21" s="7"/>
      <c r="F21" s="7"/>
      <c r="G21" s="7"/>
      <c r="H21" s="7"/>
    </row>
    <row r="22" spans="1:99" hidden="1">
      <c r="A22" s="12">
        <v>301</v>
      </c>
      <c r="B22" s="15" t="s">
        <v>30</v>
      </c>
      <c r="C22" s="16" t="s">
        <v>153</v>
      </c>
      <c r="D22" s="17" t="s">
        <v>31</v>
      </c>
      <c r="E22" s="18">
        <v>1.2</v>
      </c>
      <c r="F22" s="18">
        <v>1.3</v>
      </c>
      <c r="G22" s="12" t="s">
        <v>32</v>
      </c>
      <c r="H22" s="19">
        <v>2769</v>
      </c>
    </row>
    <row r="23" spans="1:99" hidden="1">
      <c r="A23" s="12">
        <v>302</v>
      </c>
      <c r="B23" s="15" t="s">
        <v>33</v>
      </c>
      <c r="C23" s="16" t="s">
        <v>154</v>
      </c>
      <c r="D23" s="17" t="s">
        <v>31</v>
      </c>
      <c r="E23" s="18">
        <v>0.1</v>
      </c>
      <c r="F23" s="18">
        <v>0.1</v>
      </c>
      <c r="G23" s="12" t="s">
        <v>32</v>
      </c>
      <c r="H23" s="19">
        <v>36000</v>
      </c>
    </row>
    <row r="24" spans="1:99" hidden="1">
      <c r="A24" s="12">
        <v>303</v>
      </c>
      <c r="B24" s="15" t="s">
        <v>34</v>
      </c>
      <c r="C24" s="16" t="s">
        <v>155</v>
      </c>
      <c r="D24" s="17" t="s">
        <v>35</v>
      </c>
      <c r="E24" s="18">
        <v>2.2000000000000002</v>
      </c>
      <c r="F24" s="18">
        <v>2.4</v>
      </c>
      <c r="G24" s="12" t="s">
        <v>32</v>
      </c>
      <c r="H24" s="19">
        <v>1500</v>
      </c>
    </row>
    <row r="25" spans="1:99" ht="26.25" hidden="1">
      <c r="A25" s="12">
        <v>304</v>
      </c>
      <c r="B25" s="15" t="s">
        <v>36</v>
      </c>
      <c r="C25" s="16" t="s">
        <v>156</v>
      </c>
      <c r="D25" s="17" t="s">
        <v>37</v>
      </c>
      <c r="E25" s="18">
        <v>4.8</v>
      </c>
      <c r="F25" s="18">
        <v>5.4</v>
      </c>
      <c r="G25" s="12" t="s">
        <v>38</v>
      </c>
      <c r="H25" s="19">
        <v>667</v>
      </c>
    </row>
    <row r="26" spans="1:99" hidden="1">
      <c r="A26" s="12">
        <v>305</v>
      </c>
      <c r="B26" s="15" t="s">
        <v>39</v>
      </c>
      <c r="C26" s="16" t="s">
        <v>157</v>
      </c>
      <c r="D26" s="17" t="s">
        <v>37</v>
      </c>
      <c r="E26" s="18">
        <v>3.4</v>
      </c>
      <c r="F26" s="18">
        <v>3.8</v>
      </c>
      <c r="G26" s="12" t="s">
        <v>40</v>
      </c>
      <c r="H26" s="19">
        <v>947</v>
      </c>
    </row>
    <row r="27" spans="1:99" hidden="1">
      <c r="A27" s="12">
        <v>306</v>
      </c>
      <c r="B27" s="15" t="s">
        <v>41</v>
      </c>
      <c r="C27" s="16" t="s">
        <v>158</v>
      </c>
      <c r="D27" s="17" t="s">
        <v>37</v>
      </c>
      <c r="E27" s="18">
        <v>0</v>
      </c>
      <c r="F27" s="18">
        <v>0</v>
      </c>
      <c r="G27" s="12" t="s">
        <v>38</v>
      </c>
      <c r="H27" s="19">
        <v>0</v>
      </c>
    </row>
    <row r="28" spans="1:99" hidden="1">
      <c r="A28" s="12">
        <v>307</v>
      </c>
      <c r="B28" s="15" t="s">
        <v>42</v>
      </c>
      <c r="C28" s="16" t="s">
        <v>159</v>
      </c>
      <c r="D28" s="17" t="s">
        <v>37</v>
      </c>
      <c r="E28" s="18">
        <v>0.2</v>
      </c>
      <c r="F28" s="18">
        <v>0.2</v>
      </c>
      <c r="G28" s="12" t="s">
        <v>40</v>
      </c>
      <c r="H28" s="19">
        <v>18000</v>
      </c>
    </row>
    <row r="29" spans="1:99" hidden="1">
      <c r="A29" s="12">
        <v>308</v>
      </c>
      <c r="B29" s="15" t="s">
        <v>43</v>
      </c>
      <c r="C29" s="16" t="s">
        <v>160</v>
      </c>
      <c r="D29" s="17" t="s">
        <v>44</v>
      </c>
      <c r="E29" s="18">
        <v>2.9</v>
      </c>
      <c r="F29" s="18">
        <v>3.2</v>
      </c>
      <c r="G29" s="12" t="s">
        <v>45</v>
      </c>
      <c r="H29" s="19">
        <v>1125</v>
      </c>
    </row>
    <row r="30" spans="1:99" hidden="1">
      <c r="A30" s="12">
        <v>309</v>
      </c>
      <c r="B30" s="15" t="s">
        <v>46</v>
      </c>
      <c r="C30" s="16" t="s">
        <v>46</v>
      </c>
      <c r="D30" s="17" t="s">
        <v>44</v>
      </c>
      <c r="E30" s="18">
        <v>2.2000000000000002</v>
      </c>
      <c r="F30" s="18">
        <v>2.4</v>
      </c>
      <c r="G30" s="12" t="s">
        <v>45</v>
      </c>
      <c r="H30" s="19">
        <v>1500</v>
      </c>
    </row>
    <row r="31" spans="1:99" hidden="1">
      <c r="A31" s="12">
        <v>310</v>
      </c>
      <c r="B31" s="15" t="s">
        <v>47</v>
      </c>
      <c r="C31" s="16" t="s">
        <v>47</v>
      </c>
      <c r="D31" s="17" t="s">
        <v>44</v>
      </c>
      <c r="E31" s="18">
        <v>1</v>
      </c>
      <c r="F31" s="18">
        <v>1.1000000000000001</v>
      </c>
      <c r="G31" s="12" t="s">
        <v>45</v>
      </c>
      <c r="H31" s="19">
        <v>3273</v>
      </c>
    </row>
    <row r="32" spans="1:99" hidden="1">
      <c r="A32" s="12">
        <v>311</v>
      </c>
      <c r="B32" s="15" t="s">
        <v>48</v>
      </c>
      <c r="C32" s="16" t="s">
        <v>48</v>
      </c>
      <c r="D32" s="17" t="s">
        <v>44</v>
      </c>
      <c r="E32" s="18">
        <v>0.2</v>
      </c>
      <c r="F32" s="18">
        <v>0.2</v>
      </c>
      <c r="G32" s="12" t="s">
        <v>45</v>
      </c>
      <c r="H32" s="19">
        <v>18000</v>
      </c>
    </row>
    <row r="33" spans="1:8" hidden="1">
      <c r="A33" s="12">
        <v>5</v>
      </c>
      <c r="B33" s="15" t="s">
        <v>49</v>
      </c>
      <c r="C33" s="16" t="s">
        <v>49</v>
      </c>
      <c r="D33" s="17" t="s">
        <v>35</v>
      </c>
      <c r="E33" s="18">
        <v>5.8</v>
      </c>
      <c r="F33" s="18">
        <v>6.4</v>
      </c>
      <c r="G33" s="12" t="s">
        <v>32</v>
      </c>
      <c r="H33" s="19">
        <v>563</v>
      </c>
    </row>
    <row r="34" spans="1:8" hidden="1">
      <c r="A34" s="12">
        <v>2</v>
      </c>
      <c r="B34" s="15" t="s">
        <v>50</v>
      </c>
      <c r="C34" s="16" t="s">
        <v>161</v>
      </c>
      <c r="D34" s="17" t="s">
        <v>35</v>
      </c>
      <c r="E34" s="18">
        <v>1.3</v>
      </c>
      <c r="F34" s="18">
        <v>1.4</v>
      </c>
      <c r="G34" s="12" t="s">
        <v>32</v>
      </c>
      <c r="H34" s="19">
        <v>2571</v>
      </c>
    </row>
    <row r="35" spans="1:8" hidden="1">
      <c r="A35" s="12">
        <v>6</v>
      </c>
      <c r="B35" s="15" t="s">
        <v>51</v>
      </c>
      <c r="C35" s="16" t="s">
        <v>51</v>
      </c>
      <c r="D35" s="17" t="s">
        <v>35</v>
      </c>
      <c r="E35" s="18">
        <v>0.9</v>
      </c>
      <c r="F35" s="18">
        <v>1</v>
      </c>
      <c r="G35" s="12" t="s">
        <v>32</v>
      </c>
      <c r="H35" s="19">
        <v>3600</v>
      </c>
    </row>
    <row r="36" spans="1:8" hidden="1">
      <c r="A36" s="12">
        <v>170</v>
      </c>
      <c r="B36" s="15" t="s">
        <v>52</v>
      </c>
      <c r="C36" s="16" t="s">
        <v>52</v>
      </c>
      <c r="D36" s="17" t="s">
        <v>35</v>
      </c>
      <c r="E36" s="18">
        <v>9.6</v>
      </c>
      <c r="F36" s="18">
        <v>10.6</v>
      </c>
      <c r="G36" s="12" t="s">
        <v>40</v>
      </c>
      <c r="H36" s="19">
        <v>340</v>
      </c>
    </row>
    <row r="37" spans="1:8" hidden="1">
      <c r="A37" s="12">
        <v>16</v>
      </c>
      <c r="B37" s="15" t="s">
        <v>53</v>
      </c>
      <c r="C37" s="16" t="s">
        <v>53</v>
      </c>
      <c r="D37" s="17" t="s">
        <v>35</v>
      </c>
      <c r="E37" s="18">
        <v>8.8000000000000007</v>
      </c>
      <c r="F37" s="18">
        <v>9.6999999999999993</v>
      </c>
      <c r="G37" s="12" t="s">
        <v>32</v>
      </c>
      <c r="H37" s="19">
        <v>371</v>
      </c>
    </row>
    <row r="38" spans="1:8" hidden="1">
      <c r="A38" s="12"/>
      <c r="B38" s="15" t="s">
        <v>54</v>
      </c>
      <c r="C38" s="16" t="s">
        <v>162</v>
      </c>
      <c r="D38" s="17" t="s">
        <v>55</v>
      </c>
      <c r="E38" s="18">
        <v>3.5</v>
      </c>
      <c r="F38" s="18">
        <v>3.9</v>
      </c>
      <c r="G38" s="12" t="s">
        <v>40</v>
      </c>
      <c r="H38" s="19">
        <v>923</v>
      </c>
    </row>
    <row r="39" spans="1:8" hidden="1">
      <c r="A39" s="12">
        <v>54</v>
      </c>
      <c r="B39" s="15" t="s">
        <v>56</v>
      </c>
      <c r="C39" s="16" t="s">
        <v>163</v>
      </c>
      <c r="D39" s="17" t="s">
        <v>57</v>
      </c>
      <c r="E39" s="18">
        <v>18.100000000000001</v>
      </c>
      <c r="F39" s="18">
        <v>20.3</v>
      </c>
      <c r="G39" s="12" t="s">
        <v>38</v>
      </c>
      <c r="H39" s="19">
        <v>177</v>
      </c>
    </row>
    <row r="40" spans="1:8" hidden="1">
      <c r="A40" s="12">
        <v>14</v>
      </c>
      <c r="B40" s="15" t="s">
        <v>60</v>
      </c>
      <c r="C40" s="16" t="s">
        <v>164</v>
      </c>
      <c r="D40" s="17" t="s">
        <v>61</v>
      </c>
      <c r="E40" s="18">
        <v>11.1</v>
      </c>
      <c r="F40" s="18">
        <v>12.5</v>
      </c>
      <c r="G40" s="12" t="s">
        <v>38</v>
      </c>
      <c r="H40" s="19">
        <v>288</v>
      </c>
    </row>
    <row r="41" spans="1:8" hidden="1">
      <c r="A41" s="12">
        <v>15</v>
      </c>
      <c r="B41" s="15" t="s">
        <v>58</v>
      </c>
      <c r="C41" s="16" t="s">
        <v>59</v>
      </c>
      <c r="D41" s="17" t="s">
        <v>57</v>
      </c>
      <c r="E41" s="18">
        <v>15.3</v>
      </c>
      <c r="F41" s="18">
        <v>17.2</v>
      </c>
      <c r="G41" s="12" t="s">
        <v>38</v>
      </c>
      <c r="H41" s="19">
        <v>209</v>
      </c>
    </row>
    <row r="42" spans="1:8" ht="26.25" hidden="1">
      <c r="A42" s="12">
        <v>18</v>
      </c>
      <c r="B42" s="15" t="s">
        <v>165</v>
      </c>
      <c r="C42" s="7" t="s">
        <v>166</v>
      </c>
      <c r="D42" s="14" t="s">
        <v>57</v>
      </c>
      <c r="E42" s="7">
        <v>72.2</v>
      </c>
      <c r="F42" s="7">
        <v>81.3</v>
      </c>
      <c r="G42" s="7" t="s">
        <v>38</v>
      </c>
      <c r="H42" s="7">
        <v>44</v>
      </c>
    </row>
    <row r="43" spans="1:8" hidden="1">
      <c r="A43" s="12">
        <v>11</v>
      </c>
      <c r="B43" s="15" t="s">
        <v>167</v>
      </c>
      <c r="C43" s="7"/>
      <c r="D43" s="14"/>
      <c r="E43" s="7"/>
      <c r="F43" s="7"/>
      <c r="G43" s="7"/>
      <c r="H43" s="7"/>
    </row>
    <row r="44" spans="1:8">
      <c r="A44" s="12"/>
      <c r="B44" s="20" t="s">
        <v>62</v>
      </c>
      <c r="C44" s="16" t="s">
        <v>62</v>
      </c>
      <c r="D44" s="17"/>
      <c r="E44" s="18"/>
      <c r="F44" s="18"/>
      <c r="G44" s="12"/>
      <c r="H44" s="19"/>
    </row>
    <row r="45" spans="1:8" ht="26.25">
      <c r="A45" s="12">
        <v>24</v>
      </c>
      <c r="B45" s="15" t="s">
        <v>63</v>
      </c>
      <c r="C45" s="16" t="s">
        <v>63</v>
      </c>
      <c r="D45" s="17" t="s">
        <v>64</v>
      </c>
      <c r="E45" s="18">
        <v>8.8000000000000007</v>
      </c>
      <c r="F45" s="18">
        <v>9.8000000000000007</v>
      </c>
      <c r="G45" s="12" t="s">
        <v>65</v>
      </c>
      <c r="H45" s="19">
        <v>367</v>
      </c>
    </row>
    <row r="46" spans="1:8">
      <c r="A46" s="12">
        <v>26</v>
      </c>
      <c r="B46" s="15" t="s">
        <v>66</v>
      </c>
      <c r="C46" s="16" t="s">
        <v>67</v>
      </c>
      <c r="D46" s="17" t="s">
        <v>68</v>
      </c>
      <c r="E46" s="18">
        <v>19.399999999999999</v>
      </c>
      <c r="F46" s="18">
        <v>23.5</v>
      </c>
      <c r="G46" s="12" t="s">
        <v>45</v>
      </c>
      <c r="H46" s="19">
        <v>153</v>
      </c>
    </row>
    <row r="47" spans="1:8" ht="26.25">
      <c r="A47" s="12">
        <v>28</v>
      </c>
      <c r="B47" s="15" t="s">
        <v>69</v>
      </c>
      <c r="C47" s="16" t="s">
        <v>69</v>
      </c>
      <c r="D47" s="17" t="s">
        <v>70</v>
      </c>
      <c r="E47" s="18">
        <v>12</v>
      </c>
      <c r="F47" s="18">
        <v>13.7</v>
      </c>
      <c r="G47" s="12" t="s">
        <v>65</v>
      </c>
      <c r="H47" s="19">
        <v>263</v>
      </c>
    </row>
    <row r="48" spans="1:8">
      <c r="A48" s="12">
        <v>33</v>
      </c>
      <c r="B48" s="15" t="s">
        <v>71</v>
      </c>
      <c r="C48" s="16" t="s">
        <v>72</v>
      </c>
      <c r="D48" s="17" t="s">
        <v>73</v>
      </c>
      <c r="E48" s="18">
        <v>18.8</v>
      </c>
      <c r="F48" s="18">
        <v>20.9</v>
      </c>
      <c r="G48" s="12" t="s">
        <v>74</v>
      </c>
      <c r="H48" s="19">
        <v>172</v>
      </c>
    </row>
    <row r="49" spans="1:8">
      <c r="A49" s="21">
        <v>30</v>
      </c>
      <c r="B49" s="15" t="s">
        <v>75</v>
      </c>
      <c r="C49" s="16" t="s">
        <v>75</v>
      </c>
      <c r="D49" s="17" t="s">
        <v>76</v>
      </c>
      <c r="E49" s="18">
        <v>11.8</v>
      </c>
      <c r="F49" s="18">
        <v>13.2</v>
      </c>
      <c r="G49" s="12" t="s">
        <v>77</v>
      </c>
      <c r="H49" s="19">
        <v>273</v>
      </c>
    </row>
    <row r="50" spans="1:8" ht="26.25">
      <c r="A50" s="21">
        <v>31</v>
      </c>
      <c r="B50" s="15" t="s">
        <v>78</v>
      </c>
      <c r="C50" s="16" t="s">
        <v>78</v>
      </c>
      <c r="D50" s="17" t="s">
        <v>70</v>
      </c>
      <c r="E50" s="18">
        <v>9.1</v>
      </c>
      <c r="F50" s="18">
        <v>10.199999999999999</v>
      </c>
      <c r="G50" s="12" t="s">
        <v>77</v>
      </c>
      <c r="H50" s="19">
        <v>353</v>
      </c>
    </row>
    <row r="51" spans="1:8">
      <c r="A51" s="21">
        <v>34</v>
      </c>
      <c r="B51" s="15" t="s">
        <v>79</v>
      </c>
      <c r="C51" s="16" t="s">
        <v>79</v>
      </c>
      <c r="D51" s="17" t="s">
        <v>76</v>
      </c>
      <c r="E51" s="18">
        <v>12.9</v>
      </c>
      <c r="F51" s="18">
        <v>14.3</v>
      </c>
      <c r="G51" s="12" t="s">
        <v>77</v>
      </c>
      <c r="H51" s="19">
        <v>252</v>
      </c>
    </row>
    <row r="52" spans="1:8" ht="26.25">
      <c r="A52" s="21">
        <v>36</v>
      </c>
      <c r="B52" s="15" t="s">
        <v>80</v>
      </c>
      <c r="C52" s="16" t="s">
        <v>116</v>
      </c>
      <c r="D52" s="17" t="s">
        <v>70</v>
      </c>
      <c r="E52" s="18">
        <v>11</v>
      </c>
      <c r="F52" s="18">
        <v>12.4</v>
      </c>
      <c r="G52" s="12" t="s">
        <v>77</v>
      </c>
      <c r="H52" s="19">
        <v>290</v>
      </c>
    </row>
    <row r="53" spans="1:8">
      <c r="A53" s="21">
        <v>37</v>
      </c>
      <c r="B53" s="15" t="s">
        <v>81</v>
      </c>
      <c r="C53" s="16" t="s">
        <v>81</v>
      </c>
      <c r="D53" s="17" t="s">
        <v>76</v>
      </c>
      <c r="E53" s="18">
        <v>12.8</v>
      </c>
      <c r="F53" s="18">
        <v>14.3</v>
      </c>
      <c r="G53" s="12" t="s">
        <v>65</v>
      </c>
      <c r="H53" s="19">
        <v>252</v>
      </c>
    </row>
    <row r="54" spans="1:8" ht="26.25">
      <c r="A54" s="21">
        <v>38</v>
      </c>
      <c r="B54" s="15" t="s">
        <v>82</v>
      </c>
      <c r="C54" s="16" t="s">
        <v>136</v>
      </c>
      <c r="D54" s="17" t="s">
        <v>70</v>
      </c>
      <c r="E54" s="18">
        <v>9.8000000000000007</v>
      </c>
      <c r="F54" s="18">
        <v>10.9</v>
      </c>
      <c r="G54" s="12" t="s">
        <v>77</v>
      </c>
      <c r="H54" s="19">
        <v>330</v>
      </c>
    </row>
    <row r="55" spans="1:8" ht="26.25">
      <c r="A55" s="21">
        <v>39</v>
      </c>
      <c r="B55" s="15" t="s">
        <v>83</v>
      </c>
      <c r="C55" s="7" t="s">
        <v>84</v>
      </c>
      <c r="D55" s="14" t="s">
        <v>64</v>
      </c>
      <c r="E55" s="7">
        <v>29.9</v>
      </c>
      <c r="F55" s="7">
        <v>33.700000000000003</v>
      </c>
      <c r="G55" s="7" t="s">
        <v>85</v>
      </c>
      <c r="H55" s="7">
        <v>107</v>
      </c>
    </row>
    <row r="56" spans="1:8">
      <c r="A56" s="12"/>
      <c r="B56" s="20" t="s">
        <v>86</v>
      </c>
      <c r="C56" s="16" t="s">
        <v>86</v>
      </c>
      <c r="D56" s="17"/>
      <c r="E56" s="18"/>
      <c r="F56" s="18"/>
      <c r="G56" s="12"/>
      <c r="H56" s="19"/>
    </row>
    <row r="57" spans="1:8">
      <c r="A57" s="12"/>
      <c r="B57" s="15" t="s">
        <v>87</v>
      </c>
      <c r="C57" s="16" t="s">
        <v>87</v>
      </c>
      <c r="D57" s="17" t="s">
        <v>88</v>
      </c>
      <c r="E57" s="18">
        <v>1.4</v>
      </c>
      <c r="F57" s="18">
        <v>1.4</v>
      </c>
      <c r="G57" s="12" t="s">
        <v>32</v>
      </c>
      <c r="H57" s="19">
        <v>2571</v>
      </c>
    </row>
    <row r="58" spans="1:8">
      <c r="A58" s="12"/>
      <c r="B58" s="15" t="s">
        <v>89</v>
      </c>
      <c r="C58" s="16" t="s">
        <v>90</v>
      </c>
      <c r="D58" s="17" t="s">
        <v>88</v>
      </c>
      <c r="E58" s="18">
        <v>6.7</v>
      </c>
      <c r="F58" s="18">
        <v>6.7</v>
      </c>
      <c r="G58" s="12" t="s">
        <v>32</v>
      </c>
      <c r="H58" s="19">
        <v>537</v>
      </c>
    </row>
    <row r="59" spans="1:8">
      <c r="A59" s="12"/>
      <c r="B59" s="15" t="s">
        <v>91</v>
      </c>
      <c r="C59" s="16" t="s">
        <v>91</v>
      </c>
      <c r="D59" s="17" t="s">
        <v>35</v>
      </c>
      <c r="E59" s="18">
        <v>1.4</v>
      </c>
      <c r="F59" s="18">
        <v>1.6</v>
      </c>
      <c r="G59" s="12" t="s">
        <v>32</v>
      </c>
      <c r="H59" s="19">
        <v>2250</v>
      </c>
    </row>
    <row r="60" spans="1:8">
      <c r="A60" s="12">
        <v>41</v>
      </c>
      <c r="B60" s="15" t="s">
        <v>92</v>
      </c>
      <c r="C60" s="16" t="s">
        <v>92</v>
      </c>
      <c r="D60" s="17" t="s">
        <v>35</v>
      </c>
      <c r="E60" s="18">
        <v>2.9</v>
      </c>
      <c r="F60" s="18">
        <v>3.2</v>
      </c>
      <c r="G60" s="12" t="s">
        <v>32</v>
      </c>
      <c r="H60" s="19">
        <v>1125</v>
      </c>
    </row>
    <row r="61" spans="1:8">
      <c r="A61" s="21">
        <v>21</v>
      </c>
      <c r="B61" s="15" t="s">
        <v>93</v>
      </c>
      <c r="C61" s="16" t="s">
        <v>93</v>
      </c>
      <c r="D61" s="17" t="s">
        <v>35</v>
      </c>
      <c r="E61" s="18">
        <v>2.9</v>
      </c>
      <c r="F61" s="18">
        <v>3.2</v>
      </c>
      <c r="G61" s="12" t="s">
        <v>32</v>
      </c>
      <c r="H61" s="19">
        <v>1125</v>
      </c>
    </row>
    <row r="62" spans="1:8">
      <c r="A62" s="21">
        <v>23</v>
      </c>
      <c r="B62" s="15" t="s">
        <v>94</v>
      </c>
      <c r="C62" s="16" t="s">
        <v>95</v>
      </c>
      <c r="D62" s="17" t="s">
        <v>96</v>
      </c>
      <c r="E62" s="18">
        <v>13.3</v>
      </c>
      <c r="F62" s="18">
        <v>14.7</v>
      </c>
      <c r="G62" s="12" t="s">
        <v>74</v>
      </c>
      <c r="H62" s="19">
        <v>245</v>
      </c>
    </row>
    <row r="63" spans="1:8">
      <c r="A63" s="21">
        <v>22</v>
      </c>
      <c r="B63" s="15" t="s">
        <v>97</v>
      </c>
      <c r="C63" s="16" t="s">
        <v>97</v>
      </c>
      <c r="D63" s="17" t="s">
        <v>98</v>
      </c>
      <c r="E63" s="18">
        <v>7.6</v>
      </c>
      <c r="F63" s="18">
        <v>8.5</v>
      </c>
      <c r="G63" s="12" t="s">
        <v>45</v>
      </c>
      <c r="H63" s="19">
        <v>424</v>
      </c>
    </row>
    <row r="64" spans="1:8">
      <c r="A64" s="12">
        <v>42</v>
      </c>
      <c r="B64" s="15" t="s">
        <v>99</v>
      </c>
      <c r="C64" s="16" t="s">
        <v>99</v>
      </c>
      <c r="D64" s="17" t="s">
        <v>76</v>
      </c>
      <c r="E64" s="18">
        <v>16.399999999999999</v>
      </c>
      <c r="F64" s="18">
        <v>18.3</v>
      </c>
      <c r="G64" s="12" t="s">
        <v>77</v>
      </c>
      <c r="H64" s="19">
        <v>197</v>
      </c>
    </row>
    <row r="65" spans="1:8" ht="26.25">
      <c r="A65" s="12">
        <v>43</v>
      </c>
      <c r="B65" s="15" t="s">
        <v>100</v>
      </c>
      <c r="C65" s="16" t="s">
        <v>100</v>
      </c>
      <c r="D65" s="17" t="s">
        <v>70</v>
      </c>
      <c r="E65" s="18">
        <v>12</v>
      </c>
      <c r="F65" s="18">
        <v>13.6</v>
      </c>
      <c r="G65" s="12" t="s">
        <v>77</v>
      </c>
      <c r="H65" s="19">
        <v>265</v>
      </c>
    </row>
    <row r="66" spans="1:8">
      <c r="A66" s="21">
        <v>25</v>
      </c>
      <c r="B66" s="15" t="s">
        <v>101</v>
      </c>
      <c r="C66" s="16" t="s">
        <v>102</v>
      </c>
      <c r="D66" s="17" t="s">
        <v>35</v>
      </c>
      <c r="E66" s="18">
        <v>2.6</v>
      </c>
      <c r="F66" s="18">
        <v>2.9</v>
      </c>
      <c r="G66" s="12" t="s">
        <v>32</v>
      </c>
      <c r="H66" s="19">
        <v>1241</v>
      </c>
    </row>
    <row r="67" spans="1:8">
      <c r="A67" s="12">
        <v>68</v>
      </c>
      <c r="B67" s="15" t="s">
        <v>103</v>
      </c>
      <c r="C67" s="16" t="s">
        <v>104</v>
      </c>
      <c r="D67" s="17" t="s">
        <v>98</v>
      </c>
      <c r="E67" s="18">
        <v>33.200000000000003</v>
      </c>
      <c r="F67" s="18">
        <v>36.9</v>
      </c>
      <c r="G67" s="12" t="s">
        <v>65</v>
      </c>
      <c r="H67" s="19">
        <v>98</v>
      </c>
    </row>
    <row r="68" spans="1:8" ht="26.25">
      <c r="A68" s="12">
        <v>44</v>
      </c>
      <c r="B68" s="15" t="s">
        <v>105</v>
      </c>
      <c r="C68" s="16" t="s">
        <v>105</v>
      </c>
      <c r="D68" s="17" t="s">
        <v>106</v>
      </c>
      <c r="E68" s="18">
        <v>34.9</v>
      </c>
      <c r="F68" s="18">
        <v>39.6</v>
      </c>
      <c r="G68" s="12" t="s">
        <v>85</v>
      </c>
      <c r="H68" s="19">
        <v>91</v>
      </c>
    </row>
    <row r="69" spans="1:8">
      <c r="A69" s="12">
        <v>90</v>
      </c>
      <c r="B69" s="15" t="s">
        <v>107</v>
      </c>
      <c r="C69" s="16" t="s">
        <v>107</v>
      </c>
      <c r="D69" s="17" t="s">
        <v>35</v>
      </c>
      <c r="E69" s="18">
        <v>42.5</v>
      </c>
      <c r="F69" s="18">
        <v>47</v>
      </c>
      <c r="G69" s="12" t="s">
        <v>38</v>
      </c>
      <c r="H69" s="19">
        <v>77</v>
      </c>
    </row>
    <row r="70" spans="1:8" ht="26.25">
      <c r="A70" s="12">
        <v>91</v>
      </c>
      <c r="B70" s="15" t="s">
        <v>108</v>
      </c>
      <c r="C70" s="16" t="s">
        <v>109</v>
      </c>
      <c r="D70" s="17" t="s">
        <v>98</v>
      </c>
      <c r="E70" s="18">
        <v>26.1</v>
      </c>
      <c r="F70" s="18">
        <v>28.8</v>
      </c>
      <c r="G70" s="12" t="s">
        <v>45</v>
      </c>
      <c r="H70" s="19">
        <v>125</v>
      </c>
    </row>
    <row r="71" spans="1:8">
      <c r="A71" s="22">
        <v>29</v>
      </c>
      <c r="B71" s="23" t="s">
        <v>110</v>
      </c>
      <c r="C71" s="7" t="s">
        <v>110</v>
      </c>
      <c r="D71" s="14" t="s">
        <v>35</v>
      </c>
      <c r="E71" s="7">
        <v>6.7</v>
      </c>
      <c r="F71" s="7">
        <v>7.4</v>
      </c>
      <c r="G71" s="7" t="s">
        <v>32</v>
      </c>
      <c r="H71" s="7">
        <v>486</v>
      </c>
    </row>
    <row r="72" spans="1:8">
      <c r="A72" s="12"/>
      <c r="B72" s="20" t="s">
        <v>111</v>
      </c>
      <c r="C72" s="16" t="s">
        <v>111</v>
      </c>
      <c r="D72" s="17"/>
      <c r="E72" s="18"/>
      <c r="F72" s="18"/>
      <c r="G72" s="12"/>
      <c r="H72" s="19"/>
    </row>
    <row r="73" spans="1:8">
      <c r="A73" s="21">
        <v>47</v>
      </c>
      <c r="B73" s="15" t="s">
        <v>112</v>
      </c>
      <c r="C73" s="16" t="s">
        <v>112</v>
      </c>
      <c r="D73" s="17" t="s">
        <v>76</v>
      </c>
      <c r="E73" s="18">
        <v>12.1</v>
      </c>
      <c r="F73" s="18">
        <v>13.5</v>
      </c>
      <c r="G73" s="12" t="s">
        <v>77</v>
      </c>
      <c r="H73" s="19">
        <v>267</v>
      </c>
    </row>
    <row r="74" spans="1:8" ht="26.25">
      <c r="A74" s="22">
        <v>48</v>
      </c>
      <c r="B74" s="23" t="s">
        <v>113</v>
      </c>
      <c r="C74" s="7" t="s">
        <v>113</v>
      </c>
      <c r="D74" s="14" t="s">
        <v>70</v>
      </c>
      <c r="E74" s="7">
        <v>9.8000000000000007</v>
      </c>
      <c r="F74" s="7">
        <v>11.2</v>
      </c>
      <c r="G74" s="7" t="s">
        <v>77</v>
      </c>
      <c r="H74" s="7">
        <v>321</v>
      </c>
    </row>
    <row r="75" spans="1:8">
      <c r="A75" s="12"/>
      <c r="B75" s="20" t="s">
        <v>114</v>
      </c>
      <c r="C75" s="16" t="s">
        <v>114</v>
      </c>
      <c r="D75" s="17"/>
      <c r="E75" s="18"/>
      <c r="F75" s="18"/>
      <c r="G75" s="12"/>
      <c r="H75" s="19"/>
    </row>
    <row r="76" spans="1:8">
      <c r="A76" s="22">
        <v>49</v>
      </c>
      <c r="B76" s="23" t="s">
        <v>115</v>
      </c>
      <c r="C76" s="16" t="s">
        <v>115</v>
      </c>
      <c r="D76" s="17" t="s">
        <v>76</v>
      </c>
      <c r="E76" s="18">
        <v>15.5</v>
      </c>
      <c r="F76" s="18">
        <v>17.2</v>
      </c>
      <c r="G76" s="12" t="s">
        <v>65</v>
      </c>
      <c r="H76" s="19">
        <v>209</v>
      </c>
    </row>
    <row r="77" spans="1:8" ht="26.25">
      <c r="A77" s="21">
        <v>50</v>
      </c>
      <c r="B77" s="15" t="s">
        <v>116</v>
      </c>
      <c r="C77" s="7" t="s">
        <v>116</v>
      </c>
      <c r="D77" s="14" t="s">
        <v>70</v>
      </c>
      <c r="E77" s="7">
        <v>13</v>
      </c>
      <c r="F77" s="7">
        <v>14.8</v>
      </c>
      <c r="G77" s="7" t="s">
        <v>117</v>
      </c>
      <c r="H77" s="7">
        <v>243</v>
      </c>
    </row>
    <row r="78" spans="1:8">
      <c r="A78" s="12"/>
      <c r="B78" s="20" t="s">
        <v>118</v>
      </c>
      <c r="C78" s="16" t="s">
        <v>118</v>
      </c>
      <c r="D78" s="17"/>
      <c r="E78" s="18"/>
      <c r="F78" s="18"/>
      <c r="G78" s="12"/>
      <c r="H78" s="19"/>
    </row>
    <row r="79" spans="1:8">
      <c r="A79" s="21" t="s">
        <v>119</v>
      </c>
      <c r="B79" s="15" t="s">
        <v>120</v>
      </c>
      <c r="C79" s="16" t="s">
        <v>121</v>
      </c>
      <c r="D79" s="17" t="s">
        <v>35</v>
      </c>
      <c r="E79" s="18">
        <v>30.6</v>
      </c>
      <c r="F79" s="18">
        <v>33.799999999999997</v>
      </c>
      <c r="G79" s="12" t="s">
        <v>122</v>
      </c>
      <c r="H79" s="19">
        <v>107</v>
      </c>
    </row>
    <row r="80" spans="1:8" ht="17" customHeight="1">
      <c r="A80" s="12">
        <v>70</v>
      </c>
      <c r="B80" s="15" t="s">
        <v>127</v>
      </c>
      <c r="C80" s="16" t="s">
        <v>127</v>
      </c>
      <c r="D80" s="17" t="s">
        <v>76</v>
      </c>
      <c r="E80" s="18">
        <v>21.7</v>
      </c>
      <c r="F80" s="18">
        <v>24.2</v>
      </c>
      <c r="G80" s="12" t="s">
        <v>65</v>
      </c>
      <c r="H80" s="19">
        <v>149</v>
      </c>
    </row>
    <row r="81" spans="1:8" ht="26.25">
      <c r="A81" s="12">
        <v>71</v>
      </c>
      <c r="B81" s="15" t="s">
        <v>128</v>
      </c>
      <c r="C81" s="16" t="s">
        <v>128</v>
      </c>
      <c r="D81" s="17" t="s">
        <v>70</v>
      </c>
      <c r="E81" s="18">
        <v>17.8</v>
      </c>
      <c r="F81" s="18">
        <v>20.100000000000001</v>
      </c>
      <c r="G81" s="12" t="s">
        <v>117</v>
      </c>
      <c r="H81" s="19">
        <v>179</v>
      </c>
    </row>
    <row r="82" spans="1:8">
      <c r="A82" s="12">
        <v>72</v>
      </c>
      <c r="B82" s="15" t="s">
        <v>168</v>
      </c>
      <c r="C82" s="16" t="s">
        <v>168</v>
      </c>
      <c r="D82" s="17" t="s">
        <v>35</v>
      </c>
      <c r="E82" s="18">
        <v>4.2</v>
      </c>
      <c r="F82" s="18">
        <v>4.7</v>
      </c>
      <c r="G82" s="12" t="s">
        <v>38</v>
      </c>
      <c r="H82" s="19">
        <v>766</v>
      </c>
    </row>
    <row r="83" spans="1:8" ht="26.25">
      <c r="A83" s="12">
        <v>73</v>
      </c>
      <c r="B83" s="15" t="s">
        <v>169</v>
      </c>
      <c r="C83" s="16" t="s">
        <v>170</v>
      </c>
      <c r="D83" s="17" t="s">
        <v>68</v>
      </c>
      <c r="E83" s="18">
        <v>21.6</v>
      </c>
      <c r="F83" s="18">
        <v>26.3</v>
      </c>
      <c r="G83" s="12" t="s">
        <v>45</v>
      </c>
      <c r="H83" s="19">
        <v>137</v>
      </c>
    </row>
    <row r="84" spans="1:8">
      <c r="A84" s="12">
        <v>45</v>
      </c>
      <c r="B84" s="15" t="s">
        <v>123</v>
      </c>
      <c r="C84" s="16" t="s">
        <v>171</v>
      </c>
      <c r="D84" s="17" t="s">
        <v>76</v>
      </c>
      <c r="E84" s="18">
        <v>40.4</v>
      </c>
      <c r="F84" s="18">
        <v>45.1</v>
      </c>
      <c r="G84" s="12" t="s">
        <v>65</v>
      </c>
      <c r="H84" s="19">
        <v>80</v>
      </c>
    </row>
    <row r="85" spans="1:8" ht="26.25">
      <c r="A85" s="12">
        <v>46</v>
      </c>
      <c r="B85" s="15" t="s">
        <v>125</v>
      </c>
      <c r="C85" s="16" t="s">
        <v>172</v>
      </c>
      <c r="D85" s="17" t="s">
        <v>70</v>
      </c>
      <c r="E85" s="18">
        <v>32.200000000000003</v>
      </c>
      <c r="F85" s="18">
        <v>36.5</v>
      </c>
      <c r="G85" s="12" t="s">
        <v>117</v>
      </c>
      <c r="H85" s="19">
        <v>99</v>
      </c>
    </row>
    <row r="86" spans="1:8">
      <c r="A86" s="12">
        <v>51</v>
      </c>
      <c r="B86" s="15" t="s">
        <v>129</v>
      </c>
      <c r="C86" s="16" t="s">
        <v>129</v>
      </c>
      <c r="D86" s="17" t="s">
        <v>76</v>
      </c>
      <c r="E86" s="18">
        <v>37.6</v>
      </c>
      <c r="F86" s="18">
        <v>42.1</v>
      </c>
      <c r="G86" s="12" t="s">
        <v>65</v>
      </c>
      <c r="H86" s="19">
        <v>86</v>
      </c>
    </row>
    <row r="87" spans="1:8" ht="26.25">
      <c r="A87" s="12">
        <v>52</v>
      </c>
      <c r="B87" s="15" t="s">
        <v>130</v>
      </c>
      <c r="C87" s="16" t="s">
        <v>130</v>
      </c>
      <c r="D87" s="17" t="s">
        <v>64</v>
      </c>
      <c r="E87" s="18">
        <v>25.3</v>
      </c>
      <c r="F87" s="18">
        <v>28.6</v>
      </c>
      <c r="G87" s="12" t="s">
        <v>65</v>
      </c>
      <c r="H87" s="19">
        <v>126</v>
      </c>
    </row>
    <row r="88" spans="1:8">
      <c r="A88" s="21">
        <v>56</v>
      </c>
      <c r="B88" s="15" t="s">
        <v>131</v>
      </c>
      <c r="C88" s="16" t="s">
        <v>173</v>
      </c>
      <c r="D88" s="17" t="s">
        <v>35</v>
      </c>
      <c r="E88" s="18">
        <v>11.8</v>
      </c>
      <c r="F88" s="18">
        <v>13</v>
      </c>
      <c r="G88" s="12" t="s">
        <v>74</v>
      </c>
      <c r="H88" s="19">
        <v>277</v>
      </c>
    </row>
    <row r="89" spans="1:8" ht="26.25">
      <c r="A89" s="12">
        <v>53</v>
      </c>
      <c r="B89" s="15" t="s">
        <v>132</v>
      </c>
      <c r="C89" s="16" t="s">
        <v>174</v>
      </c>
      <c r="D89" s="17" t="s">
        <v>133</v>
      </c>
      <c r="E89" s="18">
        <v>34.799999999999997</v>
      </c>
      <c r="F89" s="18">
        <v>39.200000000000003</v>
      </c>
      <c r="G89" s="12" t="s">
        <v>65</v>
      </c>
      <c r="H89" s="19">
        <v>92</v>
      </c>
    </row>
    <row r="90" spans="1:8">
      <c r="A90" s="21">
        <v>58</v>
      </c>
      <c r="B90" s="15" t="s">
        <v>134</v>
      </c>
      <c r="C90" s="16" t="s">
        <v>134</v>
      </c>
      <c r="D90" s="17" t="s">
        <v>98</v>
      </c>
      <c r="E90" s="18">
        <v>16.600000000000001</v>
      </c>
      <c r="F90" s="18">
        <v>18.5</v>
      </c>
      <c r="G90" s="12" t="s">
        <v>65</v>
      </c>
      <c r="H90" s="19">
        <v>195</v>
      </c>
    </row>
    <row r="91" spans="1:8">
      <c r="A91" s="21">
        <v>59</v>
      </c>
      <c r="B91" s="15" t="s">
        <v>135</v>
      </c>
      <c r="C91" s="16" t="s">
        <v>135</v>
      </c>
      <c r="D91" s="17" t="s">
        <v>76</v>
      </c>
      <c r="E91" s="18">
        <v>7.3</v>
      </c>
      <c r="F91" s="18">
        <v>8.1</v>
      </c>
      <c r="G91" s="12" t="s">
        <v>45</v>
      </c>
      <c r="H91" s="19">
        <v>444</v>
      </c>
    </row>
    <row r="92" spans="1:8" ht="26.25">
      <c r="A92" s="21">
        <v>60</v>
      </c>
      <c r="B92" s="15" t="s">
        <v>136</v>
      </c>
      <c r="C92" s="16" t="s">
        <v>136</v>
      </c>
      <c r="D92" s="17" t="s">
        <v>70</v>
      </c>
      <c r="E92" s="18">
        <v>8.9</v>
      </c>
      <c r="F92" s="18">
        <v>10.1</v>
      </c>
      <c r="G92" s="12" t="s">
        <v>65</v>
      </c>
      <c r="H92" s="19">
        <v>356</v>
      </c>
    </row>
    <row r="93" spans="1:8">
      <c r="A93" s="21">
        <v>61</v>
      </c>
      <c r="B93" s="15" t="s">
        <v>137</v>
      </c>
      <c r="C93" s="16" t="s">
        <v>137</v>
      </c>
      <c r="D93" s="17" t="s">
        <v>98</v>
      </c>
      <c r="E93" s="18">
        <v>16.2</v>
      </c>
      <c r="F93" s="18">
        <v>17.899999999999999</v>
      </c>
      <c r="G93" s="12" t="s">
        <v>45</v>
      </c>
      <c r="H93" s="19">
        <v>201</v>
      </c>
    </row>
    <row r="94" spans="1:8">
      <c r="A94" s="21">
        <v>62</v>
      </c>
      <c r="B94" s="15" t="s">
        <v>138</v>
      </c>
      <c r="C94" s="16" t="s">
        <v>138</v>
      </c>
      <c r="D94" s="17" t="s">
        <v>98</v>
      </c>
      <c r="E94" s="18">
        <v>47.8</v>
      </c>
      <c r="F94" s="18">
        <v>53.6</v>
      </c>
      <c r="G94" s="12" t="s">
        <v>139</v>
      </c>
      <c r="H94" s="19">
        <v>67</v>
      </c>
    </row>
    <row r="95" spans="1:8">
      <c r="A95" s="21">
        <v>63</v>
      </c>
      <c r="B95" s="15" t="s">
        <v>140</v>
      </c>
      <c r="C95" s="16" t="s">
        <v>140</v>
      </c>
      <c r="D95" s="17" t="s">
        <v>98</v>
      </c>
      <c r="E95" s="18">
        <v>8</v>
      </c>
      <c r="F95" s="18">
        <v>8.9</v>
      </c>
      <c r="G95" s="12" t="s">
        <v>65</v>
      </c>
      <c r="H95" s="19">
        <v>404</v>
      </c>
    </row>
    <row r="96" spans="1:8">
      <c r="A96" s="21">
        <v>64</v>
      </c>
      <c r="B96" s="15" t="s">
        <v>141</v>
      </c>
      <c r="C96" s="16" t="s">
        <v>141</v>
      </c>
      <c r="D96" s="17" t="s">
        <v>98</v>
      </c>
      <c r="E96" s="18">
        <v>41.1</v>
      </c>
      <c r="F96" s="18">
        <v>46.3</v>
      </c>
      <c r="G96" s="12" t="s">
        <v>142</v>
      </c>
      <c r="H96" s="19">
        <v>78</v>
      </c>
    </row>
    <row r="97" spans="1:8">
      <c r="A97" s="21">
        <v>65</v>
      </c>
      <c r="B97" s="15" t="s">
        <v>143</v>
      </c>
      <c r="C97" s="16" t="s">
        <v>143</v>
      </c>
      <c r="D97" s="17" t="s">
        <v>76</v>
      </c>
      <c r="E97" s="18">
        <v>29.7</v>
      </c>
      <c r="F97" s="18">
        <v>33.200000000000003</v>
      </c>
      <c r="G97" s="12" t="s">
        <v>65</v>
      </c>
      <c r="H97" s="19">
        <v>108</v>
      </c>
    </row>
    <row r="98" spans="1:8">
      <c r="A98" s="21">
        <v>66</v>
      </c>
      <c r="B98" s="15" t="s">
        <v>144</v>
      </c>
      <c r="C98" s="16" t="s">
        <v>144</v>
      </c>
      <c r="D98" s="17" t="s">
        <v>35</v>
      </c>
      <c r="E98" s="18">
        <v>5.4</v>
      </c>
      <c r="F98" s="18">
        <v>6</v>
      </c>
      <c r="G98" s="12" t="s">
        <v>32</v>
      </c>
      <c r="H98" s="19">
        <v>600</v>
      </c>
    </row>
    <row r="99" spans="1:8" ht="26.25">
      <c r="A99" s="12">
        <v>55</v>
      </c>
      <c r="B99" s="15" t="s">
        <v>145</v>
      </c>
      <c r="C99" s="16" t="s">
        <v>146</v>
      </c>
      <c r="D99" s="17" t="s">
        <v>70</v>
      </c>
      <c r="E99" s="18">
        <v>27.8</v>
      </c>
      <c r="F99" s="18">
        <v>31.4</v>
      </c>
      <c r="G99" s="12" t="s">
        <v>65</v>
      </c>
      <c r="H99" s="19">
        <v>115</v>
      </c>
    </row>
    <row r="100" spans="1:8">
      <c r="A100" s="12">
        <v>57</v>
      </c>
      <c r="B100" s="15" t="s">
        <v>147</v>
      </c>
      <c r="C100" s="16" t="s">
        <v>175</v>
      </c>
      <c r="D100" s="17" t="s">
        <v>35</v>
      </c>
      <c r="E100" s="18">
        <v>18.100000000000001</v>
      </c>
      <c r="F100" s="18">
        <v>20</v>
      </c>
      <c r="G100" s="12" t="s">
        <v>32</v>
      </c>
      <c r="H100" s="19">
        <v>180</v>
      </c>
    </row>
    <row r="101" spans="1:8">
      <c r="A101" s="12">
        <v>67</v>
      </c>
      <c r="B101" s="15" t="s">
        <v>149</v>
      </c>
      <c r="C101" s="16" t="s">
        <v>149</v>
      </c>
      <c r="D101" s="17" t="s">
        <v>98</v>
      </c>
      <c r="E101" s="18">
        <v>12.8</v>
      </c>
      <c r="F101" s="18">
        <v>14.3</v>
      </c>
      <c r="G101" s="12" t="s">
        <v>45</v>
      </c>
      <c r="H101" s="19">
        <v>252</v>
      </c>
    </row>
    <row r="102" spans="1:8">
      <c r="A102" s="12">
        <v>120</v>
      </c>
      <c r="B102" s="15" t="s">
        <v>150</v>
      </c>
      <c r="C102" s="7" t="s">
        <v>151</v>
      </c>
      <c r="D102" s="14" t="s">
        <v>35</v>
      </c>
      <c r="E102" s="7">
        <v>43.2</v>
      </c>
      <c r="F102" s="7">
        <v>47.7</v>
      </c>
      <c r="G102" s="7" t="s">
        <v>122</v>
      </c>
      <c r="H102" s="7">
        <v>75</v>
      </c>
    </row>
    <row r="103" spans="1:8" ht="15" hidden="1" customHeight="1">
      <c r="A103" s="12"/>
      <c r="B103" s="23" t="s">
        <v>176</v>
      </c>
      <c r="C103" s="7" t="s">
        <v>176</v>
      </c>
      <c r="D103" s="14"/>
      <c r="E103" s="7"/>
      <c r="F103" s="7"/>
      <c r="G103" s="7"/>
      <c r="H103" s="7"/>
    </row>
    <row r="104" spans="1:8" ht="15" hidden="1" customHeight="1">
      <c r="A104" s="12">
        <v>126</v>
      </c>
      <c r="B104" s="23" t="s">
        <v>177</v>
      </c>
      <c r="C104" s="7"/>
      <c r="D104" s="14"/>
      <c r="E104" s="7"/>
      <c r="F104" s="7"/>
      <c r="G104" s="7"/>
      <c r="H104" s="7"/>
    </row>
    <row r="105" spans="1:8" ht="15" hidden="1" customHeight="1">
      <c r="A105" s="12">
        <v>103</v>
      </c>
      <c r="B105" s="23" t="s">
        <v>178</v>
      </c>
      <c r="C105" s="7" t="s">
        <v>178</v>
      </c>
      <c r="D105" s="14" t="s">
        <v>179</v>
      </c>
      <c r="E105" s="7">
        <v>42.7</v>
      </c>
      <c r="F105" s="7">
        <v>48</v>
      </c>
      <c r="G105" s="7" t="s">
        <v>85</v>
      </c>
      <c r="H105" s="7">
        <v>75</v>
      </c>
    </row>
    <row r="106" spans="1:8" ht="15" hidden="1" customHeight="1">
      <c r="A106" s="12">
        <v>105</v>
      </c>
      <c r="B106" s="23" t="s">
        <v>180</v>
      </c>
      <c r="C106" s="7" t="s">
        <v>180</v>
      </c>
      <c r="D106" s="14" t="s">
        <v>35</v>
      </c>
      <c r="E106" s="7">
        <v>47.8</v>
      </c>
      <c r="F106" s="7">
        <v>52.9</v>
      </c>
      <c r="G106" s="7" t="s">
        <v>74</v>
      </c>
      <c r="H106" s="7">
        <v>68</v>
      </c>
    </row>
    <row r="107" spans="1:8" ht="15" hidden="1" customHeight="1">
      <c r="A107" s="12"/>
      <c r="B107" s="23" t="s">
        <v>181</v>
      </c>
      <c r="C107" s="7" t="s">
        <v>181</v>
      </c>
      <c r="D107" s="14" t="s">
        <v>35</v>
      </c>
      <c r="E107" s="7">
        <v>5.8</v>
      </c>
      <c r="F107" s="7">
        <v>6.4</v>
      </c>
      <c r="G107" s="7" t="s">
        <v>32</v>
      </c>
      <c r="H107" s="7">
        <v>563</v>
      </c>
    </row>
    <row r="108" spans="1:8" ht="15" hidden="1" customHeight="1">
      <c r="A108" s="12"/>
      <c r="B108" s="23" t="s">
        <v>182</v>
      </c>
      <c r="C108" s="7" t="s">
        <v>182</v>
      </c>
      <c r="D108" s="14" t="s">
        <v>35</v>
      </c>
      <c r="E108" s="7">
        <v>2.9</v>
      </c>
      <c r="F108" s="7">
        <v>3.2</v>
      </c>
      <c r="G108" s="7" t="s">
        <v>32</v>
      </c>
      <c r="H108" s="7">
        <v>1125</v>
      </c>
    </row>
    <row r="109" spans="1:8" ht="15" hidden="1" customHeight="1">
      <c r="A109" s="12">
        <v>172</v>
      </c>
      <c r="B109" s="23" t="s">
        <v>183</v>
      </c>
      <c r="C109" s="7" t="s">
        <v>183</v>
      </c>
      <c r="D109" s="14" t="s">
        <v>35</v>
      </c>
      <c r="E109" s="7">
        <v>3.7</v>
      </c>
      <c r="F109" s="7">
        <v>4.0999999999999996</v>
      </c>
      <c r="G109" s="7" t="s">
        <v>32</v>
      </c>
      <c r="H109" s="7">
        <v>878</v>
      </c>
    </row>
    <row r="110" spans="1:8" ht="15" hidden="1" customHeight="1">
      <c r="A110" s="12">
        <v>122</v>
      </c>
      <c r="B110" s="23" t="s">
        <v>184</v>
      </c>
      <c r="C110" s="7" t="s">
        <v>184</v>
      </c>
      <c r="D110" s="14" t="s">
        <v>35</v>
      </c>
      <c r="E110" s="7">
        <v>5.3</v>
      </c>
      <c r="F110" s="7">
        <v>5.8</v>
      </c>
      <c r="G110" s="7" t="s">
        <v>32</v>
      </c>
      <c r="H110" s="7">
        <v>621</v>
      </c>
    </row>
    <row r="111" spans="1:8" ht="15" hidden="1" customHeight="1">
      <c r="A111" s="12">
        <v>141</v>
      </c>
      <c r="B111" s="23" t="s">
        <v>185</v>
      </c>
      <c r="C111" s="7" t="s">
        <v>185</v>
      </c>
      <c r="D111" s="14" t="s">
        <v>35</v>
      </c>
      <c r="E111" s="7">
        <v>9.6999999999999993</v>
      </c>
      <c r="F111" s="7">
        <v>10.7</v>
      </c>
      <c r="G111" s="7" t="s">
        <v>32</v>
      </c>
      <c r="H111" s="7">
        <v>336</v>
      </c>
    </row>
    <row r="112" spans="1:8" ht="15" hidden="1" customHeight="1">
      <c r="A112" s="12">
        <v>123</v>
      </c>
      <c r="B112" s="23" t="s">
        <v>186</v>
      </c>
      <c r="C112" s="7" t="s">
        <v>186</v>
      </c>
      <c r="D112" s="14" t="s">
        <v>35</v>
      </c>
      <c r="E112" s="7">
        <v>7.2</v>
      </c>
      <c r="F112" s="7">
        <v>8</v>
      </c>
      <c r="G112" s="7" t="s">
        <v>32</v>
      </c>
      <c r="H112" s="7">
        <v>450</v>
      </c>
    </row>
    <row r="113" spans="1:8" ht="15" hidden="1" customHeight="1">
      <c r="A113" s="12">
        <v>107</v>
      </c>
      <c r="B113" s="23" t="s">
        <v>187</v>
      </c>
      <c r="C113" s="7" t="s">
        <v>187</v>
      </c>
      <c r="D113" s="14" t="s">
        <v>35</v>
      </c>
      <c r="E113" s="7">
        <v>10.3</v>
      </c>
      <c r="F113" s="7">
        <v>11.3</v>
      </c>
      <c r="G113" s="7" t="s">
        <v>32</v>
      </c>
      <c r="H113" s="7">
        <v>319</v>
      </c>
    </row>
    <row r="114" spans="1:8" ht="15" hidden="1" customHeight="1">
      <c r="A114" s="12">
        <v>106</v>
      </c>
      <c r="B114" s="23" t="s">
        <v>188</v>
      </c>
      <c r="C114" s="7" t="s">
        <v>188</v>
      </c>
      <c r="D114" s="14" t="s">
        <v>35</v>
      </c>
      <c r="E114" s="7">
        <v>8.8000000000000007</v>
      </c>
      <c r="F114" s="7">
        <v>9.6999999999999993</v>
      </c>
      <c r="G114" s="7" t="s">
        <v>32</v>
      </c>
      <c r="H114" s="7">
        <v>371</v>
      </c>
    </row>
    <row r="115" spans="1:8" ht="15" hidden="1" customHeight="1">
      <c r="A115" s="12">
        <v>140</v>
      </c>
      <c r="B115" s="23" t="s">
        <v>189</v>
      </c>
      <c r="C115" s="7" t="s">
        <v>189</v>
      </c>
      <c r="D115" s="14" t="s">
        <v>35</v>
      </c>
      <c r="E115" s="7">
        <v>2.9</v>
      </c>
      <c r="F115" s="7">
        <v>3.2</v>
      </c>
      <c r="G115" s="7" t="s">
        <v>32</v>
      </c>
      <c r="H115" s="7">
        <v>1125</v>
      </c>
    </row>
    <row r="116" spans="1:8" ht="15" hidden="1" customHeight="1">
      <c r="A116" s="12">
        <v>40</v>
      </c>
      <c r="B116" s="23" t="s">
        <v>190</v>
      </c>
      <c r="C116" s="7" t="s">
        <v>190</v>
      </c>
      <c r="D116" s="14" t="s">
        <v>35</v>
      </c>
      <c r="E116" s="7">
        <v>5.8</v>
      </c>
      <c r="F116" s="7">
        <v>6.4</v>
      </c>
      <c r="G116" s="7" t="s">
        <v>32</v>
      </c>
      <c r="H116" s="7">
        <v>563</v>
      </c>
    </row>
    <row r="117" spans="1:8" ht="15" hidden="1" customHeight="1">
      <c r="A117" s="12">
        <v>124</v>
      </c>
      <c r="B117" s="23" t="s">
        <v>191</v>
      </c>
      <c r="C117" s="7" t="s">
        <v>191</v>
      </c>
      <c r="D117" s="14" t="s">
        <v>35</v>
      </c>
      <c r="E117" s="7">
        <v>11.7</v>
      </c>
      <c r="F117" s="7">
        <v>12.9</v>
      </c>
      <c r="G117" s="7" t="s">
        <v>32</v>
      </c>
      <c r="H117" s="7">
        <v>279</v>
      </c>
    </row>
    <row r="118" spans="1:8" ht="15" hidden="1" customHeight="1">
      <c r="A118" s="12">
        <v>154</v>
      </c>
      <c r="B118" s="23" t="s">
        <v>192</v>
      </c>
      <c r="C118" s="7" t="s">
        <v>192</v>
      </c>
      <c r="D118" s="14" t="s">
        <v>35</v>
      </c>
      <c r="E118" s="7">
        <v>13.8</v>
      </c>
      <c r="F118" s="7">
        <v>15.2</v>
      </c>
      <c r="G118" s="7" t="s">
        <v>32</v>
      </c>
      <c r="H118" s="7">
        <v>237</v>
      </c>
    </row>
    <row r="119" spans="1:8" ht="15" hidden="1" customHeight="1">
      <c r="A119" s="12">
        <v>121</v>
      </c>
      <c r="B119" s="23" t="s">
        <v>193</v>
      </c>
      <c r="C119" s="7" t="s">
        <v>193</v>
      </c>
      <c r="D119" s="14" t="s">
        <v>35</v>
      </c>
      <c r="E119" s="7">
        <v>12.3</v>
      </c>
      <c r="F119" s="7">
        <v>13.6</v>
      </c>
      <c r="G119" s="7" t="s">
        <v>32</v>
      </c>
      <c r="H119" s="7">
        <v>265</v>
      </c>
    </row>
    <row r="120" spans="1:8" ht="15" hidden="1" customHeight="1">
      <c r="A120" s="12">
        <v>102</v>
      </c>
      <c r="B120" s="23" t="s">
        <v>194</v>
      </c>
      <c r="C120" s="7" t="s">
        <v>194</v>
      </c>
      <c r="D120" s="14" t="s">
        <v>35</v>
      </c>
      <c r="E120" s="7">
        <v>3.8</v>
      </c>
      <c r="F120" s="7">
        <v>4.2</v>
      </c>
      <c r="G120" s="7" t="s">
        <v>32</v>
      </c>
      <c r="H120" s="7">
        <v>857</v>
      </c>
    </row>
    <row r="121" spans="1:8" ht="15" hidden="1" customHeight="1">
      <c r="A121" s="12">
        <v>152</v>
      </c>
      <c r="B121" s="23" t="s">
        <v>195</v>
      </c>
      <c r="C121" s="7" t="s">
        <v>195</v>
      </c>
      <c r="D121" s="14" t="s">
        <v>35</v>
      </c>
      <c r="E121" s="7">
        <v>1.4</v>
      </c>
      <c r="F121" s="7">
        <v>1.6</v>
      </c>
      <c r="G121" s="7" t="s">
        <v>196</v>
      </c>
      <c r="H121" s="7">
        <v>2250</v>
      </c>
    </row>
    <row r="122" spans="1:8" ht="15" hidden="1" customHeight="1">
      <c r="A122" s="12">
        <v>131</v>
      </c>
      <c r="B122" s="23" t="s">
        <v>197</v>
      </c>
      <c r="C122" s="7" t="s">
        <v>197</v>
      </c>
      <c r="D122" s="14" t="s">
        <v>35</v>
      </c>
      <c r="E122" s="7">
        <v>7.2</v>
      </c>
      <c r="F122" s="7">
        <v>8</v>
      </c>
      <c r="G122" s="7" t="s">
        <v>32</v>
      </c>
      <c r="H122" s="7">
        <v>450</v>
      </c>
    </row>
    <row r="123" spans="1:8" s="1" customFormat="1" ht="26" hidden="1" customHeight="1">
      <c r="A123" s="24">
        <v>132</v>
      </c>
      <c r="B123" s="23" t="s">
        <v>198</v>
      </c>
      <c r="C123" s="7" t="s">
        <v>198</v>
      </c>
      <c r="D123" s="14" t="s">
        <v>35</v>
      </c>
      <c r="E123" s="14">
        <v>9.5</v>
      </c>
      <c r="F123" s="14">
        <v>10.5</v>
      </c>
      <c r="G123" s="14" t="s">
        <v>32</v>
      </c>
      <c r="H123" s="14">
        <v>343</v>
      </c>
    </row>
    <row r="124" spans="1:8" s="1" customFormat="1" ht="26" hidden="1" customHeight="1">
      <c r="A124" s="24">
        <v>133</v>
      </c>
      <c r="B124" s="25" t="s">
        <v>199</v>
      </c>
      <c r="C124" s="4" t="s">
        <v>199</v>
      </c>
      <c r="D124" s="5" t="s">
        <v>35</v>
      </c>
      <c r="E124" s="5">
        <v>8.1</v>
      </c>
      <c r="F124" s="5">
        <v>9</v>
      </c>
      <c r="G124" s="5" t="s">
        <v>32</v>
      </c>
      <c r="H124" s="5">
        <v>400</v>
      </c>
    </row>
    <row r="125" spans="1:8" ht="15" hidden="1" customHeight="1">
      <c r="A125" s="12">
        <v>169</v>
      </c>
      <c r="B125" s="23" t="s">
        <v>200</v>
      </c>
      <c r="C125" s="7" t="s">
        <v>200</v>
      </c>
      <c r="D125" s="14" t="s">
        <v>35</v>
      </c>
      <c r="E125" s="7">
        <v>1</v>
      </c>
      <c r="F125" s="7">
        <v>1.1000000000000001</v>
      </c>
      <c r="G125" s="7" t="s">
        <v>32</v>
      </c>
      <c r="H125" s="7">
        <v>3273</v>
      </c>
    </row>
    <row r="126" spans="1:8" ht="15" customHeight="1">
      <c r="A126" s="4" t="s">
        <v>152</v>
      </c>
      <c r="B126" s="4"/>
      <c r="C126" s="7"/>
      <c r="D126" s="14"/>
      <c r="E126" s="7"/>
      <c r="F126" s="7"/>
      <c r="G126" s="7"/>
      <c r="H126" s="7"/>
    </row>
  </sheetData>
  <mergeCells count="20">
    <mergeCell ref="B16:E16"/>
    <mergeCell ref="B17:E17"/>
    <mergeCell ref="B18:E18"/>
    <mergeCell ref="B19:E19"/>
    <mergeCell ref="F4:H19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A1:H1"/>
    <mergeCell ref="A2:H2"/>
    <mergeCell ref="A3:H3"/>
    <mergeCell ref="B4:E4"/>
    <mergeCell ref="B5:E5"/>
  </mergeCells>
  <conditionalFormatting sqref="A1:A1048576">
    <cfRule type="duplicateValues" dxfId="4" priority="1"/>
    <cfRule type="duplicateValues" dxfId="3" priority="3"/>
    <cfRule type="duplicateValues" dxfId="2" priority="4"/>
  </conditionalFormatting>
  <conditionalFormatting sqref="B103:B125">
    <cfRule type="duplicateValues" dxfId="1" priority="2"/>
  </conditionalFormatting>
  <conditionalFormatting sqref="C1:C125 C127:C1048576">
    <cfRule type="duplicateValues" dxfId="0" priority="5"/>
  </conditionalFormatting>
  <printOptions horizontalCentered="1"/>
  <pageMargins left="7.9166666666666705E-2" right="7.9166666666666705E-2" top="0.39652777777777798" bottom="0.39652777777777798" header="0.19791666666666699" footer="0.19791666666666699"/>
  <pageSetup paperSize="9" scale="85" orientation="portrait" r:id="rId1"/>
  <headerFooter>
    <oddFooter>&amp;R&amp;D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12C1451-1469</vt:lpstr>
      <vt:lpstr>1450</vt:lpstr>
      <vt:lpstr>'12C1451-1469'!Print_Titles</vt:lpstr>
      <vt:lpstr>'1450'!Print_Titles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Yunzhu Lai</cp:lastModifiedBy>
  <dcterms:created xsi:type="dcterms:W3CDTF">2024-10-17T07:32:00Z</dcterms:created>
  <dcterms:modified xsi:type="dcterms:W3CDTF">2025-10-31T16:02:50Z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8945A7C0E01E4C5E8D4DB6054D40797F_13</vt:lpwstr>
  </property>
  <property fmtid="{D5CDD505-2E9C-101B-9397-08002B2CF9AE}" pid="3" name="KSOProductBuildVer">
    <vt:lpwstr>2052-12.1.0.19770</vt:lpwstr>
  </property>
</Properties>
</file>