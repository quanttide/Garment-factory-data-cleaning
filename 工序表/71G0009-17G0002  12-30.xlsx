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71G0002" sheetId="1" r:id="rId1"/>
    <sheet name="71G0002 (2)" sheetId="2" r:id="rId2"/>
  </sheets>
  <definedNames>
    <definedName name="_xlnm.Print_Titles" localSheetId="0">'71G0002'!$1:$20</definedName>
    <definedName name="_xlnm.Print_Titles" localSheetId="1">'71G0002 (2)'!$1:$20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<sst xmlns="http://schemas.openxmlformats.org/spreadsheetml/2006/main" count="1008" uniqueCount="266">
  <si>
    <t>重庆尚上服饰有限公司</t>
  </si>
  <si>
    <t>款式工序表</t>
  </si>
  <si>
    <t>打印日期：2023-01-10 8:41:39</t>
  </si>
  <si>
    <t>生产制单号：</t>
  </si>
  <si>
    <t>22080150F</t>
  </si>
  <si>
    <t>客　　户：</t>
  </si>
  <si>
    <t>上海润昌</t>
  </si>
  <si>
    <t>客户款号：</t>
  </si>
  <si>
    <t>71G0002</t>
  </si>
  <si>
    <t>款式描述：</t>
  </si>
  <si>
    <t>开袋 侧袋 脚口拉链</t>
  </si>
  <si>
    <t>品质标准：</t>
  </si>
  <si>
    <t>数　　量：</t>
  </si>
  <si>
    <t>车缝时间：</t>
  </si>
  <si>
    <t>车缝10.5H台产：</t>
  </si>
  <si>
    <t>裁床10.5H台产：</t>
  </si>
  <si>
    <t>尾部10.5H台产：</t>
  </si>
  <si>
    <t>裁床单价：</t>
  </si>
  <si>
    <t>车缝单价：</t>
  </si>
  <si>
    <t>后道单价：</t>
  </si>
  <si>
    <t>总 单 价：</t>
  </si>
  <si>
    <t>备　　注：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</si>
  <si>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</si>
  <si>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</si>
  <si>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</si>
  <si>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</si>
  <si>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</si>
  <si>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</si>
  <si>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</si>
  <si>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</si>
  <si>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</t>
  </si>
  <si>
    <t>松面布*1.2637</t>
  </si>
  <si>
    <t>松布机</t>
  </si>
  <si>
    <t>EE</t>
  </si>
  <si>
    <t>拉面布</t>
  </si>
  <si>
    <t>拉面布*1.2637</t>
  </si>
  <si>
    <t>拉布机</t>
  </si>
  <si>
    <t>DD</t>
  </si>
  <si>
    <t>裁剪面布</t>
  </si>
  <si>
    <t>裁剪面布*15</t>
  </si>
  <si>
    <t>电脑裁床</t>
  </si>
  <si>
    <t>AA</t>
  </si>
  <si>
    <t>面布分包</t>
  </si>
  <si>
    <t>面布分包* 15（小包）</t>
  </si>
  <si>
    <t>手工</t>
  </si>
  <si>
    <t>打编号</t>
  </si>
  <si>
    <t>打编号*15</t>
  </si>
  <si>
    <t>面布验片</t>
  </si>
  <si>
    <t>面布验片*9（前后片*4、侧袋*2、腰头*1 机头*2）</t>
  </si>
  <si>
    <t>拉衬布</t>
  </si>
  <si>
    <t>拉衬布*0.0447</t>
  </si>
  <si>
    <t>裁剪衬布</t>
  </si>
  <si>
    <t>裁剪衬布*6</t>
  </si>
  <si>
    <t>衬布分包</t>
  </si>
  <si>
    <t>衬布分包*6（大包）</t>
  </si>
  <si>
    <t>松网布</t>
  </si>
  <si>
    <t>松网布*0.0121</t>
  </si>
  <si>
    <t>松汗布</t>
  </si>
  <si>
    <t>松汗布*0.09</t>
  </si>
  <si>
    <t>拉汗布</t>
  </si>
  <si>
    <t>拉汗布*0.09</t>
  </si>
  <si>
    <t>拉网布</t>
  </si>
  <si>
    <t>拉网布*0.0121</t>
  </si>
  <si>
    <t>裁剪汗布</t>
  </si>
  <si>
    <t>裁剪汗布*2</t>
  </si>
  <si>
    <t>电脑裁剪</t>
  </si>
  <si>
    <t>裁剪网布</t>
  </si>
  <si>
    <t>裁剪网布*1</t>
  </si>
  <si>
    <t>汗布分包</t>
  </si>
  <si>
    <t>汗布分包*2（大包）</t>
  </si>
  <si>
    <t>网布分包</t>
  </si>
  <si>
    <t>网布分包*1(大包）</t>
  </si>
  <si>
    <t>烫标</t>
  </si>
  <si>
    <t>烫后片标*1</t>
  </si>
  <si>
    <t>中烫</t>
  </si>
  <si>
    <t>烫袋盖衬</t>
  </si>
  <si>
    <t>烫袋盖衬*4</t>
  </si>
  <si>
    <t>粘朴机</t>
  </si>
  <si>
    <t>烫袋口四合扣位衬</t>
  </si>
  <si>
    <t>烫袋口四合扣位衬*2</t>
  </si>
  <si>
    <t>压烫机过腰头橡筋</t>
  </si>
  <si>
    <t>压烫机过腰头橡筋（三根一起过）/件</t>
  </si>
  <si>
    <t>压烫机</t>
  </si>
  <si>
    <t>下裁片</t>
  </si>
  <si>
    <t>下手机袋布</t>
  </si>
  <si>
    <t>2-腰头</t>
  </si>
  <si>
    <t>量剪腰头橡筋</t>
  </si>
  <si>
    <t>E</t>
  </si>
  <si>
    <t>拼接腰头橡筋</t>
  </si>
  <si>
    <t>拼接腰头橡筋*1</t>
  </si>
  <si>
    <t>电脑平车</t>
  </si>
  <si>
    <t>D</t>
  </si>
  <si>
    <t>点腰头橡筋直眼中位</t>
  </si>
  <si>
    <t>点腰头橡筋直眼中位*1（分上下及正反面）</t>
  </si>
  <si>
    <t>半成品锁腰头橡筋直眼*2</t>
  </si>
  <si>
    <t>半成品锁腰头橡筋直眼*2（已点中位）</t>
  </si>
  <si>
    <t>电脑单头平眼车</t>
  </si>
  <si>
    <t>C</t>
  </si>
  <si>
    <t>没有用此工序</t>
  </si>
  <si>
    <t>平车拼接面腰后中缝</t>
  </si>
  <si>
    <t>平车拼接面腰后中缝*1</t>
  </si>
  <si>
    <t>平车开骨压腰头橡筋明线*2</t>
  </si>
  <si>
    <t>平车开骨压腰头橡筋明线*2（无取、放）</t>
  </si>
  <si>
    <t>点腰头位*3</t>
  </si>
  <si>
    <t>点腰头位*3   （带着做）</t>
  </si>
  <si>
    <t>平车固定里面腰头后中位</t>
  </si>
  <si>
    <t>平车固定里面腰头后中位(横订）</t>
  </si>
  <si>
    <t>单针冚车活落橡筋于腰顶一周</t>
  </si>
  <si>
    <t>单针冚车活落橡筋于腰顶一周（上架）（后中已固定）</t>
  </si>
  <si>
    <t>电脑单针双线冚车</t>
  </si>
  <si>
    <t>穿腰绳及比好长短</t>
  </si>
  <si>
    <t>穿腰绳*1及比好长短</t>
  </si>
  <si>
    <t>点橡筋中位*3</t>
  </si>
  <si>
    <t>点橡筋中位*3（带着做）</t>
  </si>
  <si>
    <t>固定腰绳于后中缝连冚车线</t>
  </si>
  <si>
    <t>固定腰绳于后中缝连冚车线*1（成品竖订） 线迹订于里面缝</t>
  </si>
  <si>
    <t>多针橡筋车上架冚腰头多线三条</t>
  </si>
  <si>
    <t>多针橡筋车上架冚腰头多线三条）腰顶已固定</t>
  </si>
  <si>
    <t>多针橡筋车</t>
  </si>
  <si>
    <t>B</t>
  </si>
  <si>
    <t>3-小部件</t>
  </si>
  <si>
    <t>打肶袋盖四合扣*2</t>
  </si>
  <si>
    <t>打肶袋盖四合扣*2（车台定位）</t>
  </si>
  <si>
    <t>啤机</t>
  </si>
  <si>
    <t>模板车肶袋盖暗线*2</t>
  </si>
  <si>
    <t>模板车肶袋盖暗线*2    不含机器时间</t>
  </si>
  <si>
    <t>全自动模板车</t>
  </si>
  <si>
    <t>翻肶袋盖*2</t>
  </si>
  <si>
    <t>双针压肶袋盖边缘明线*2</t>
  </si>
  <si>
    <t>电脑双针平车</t>
  </si>
  <si>
    <t>四线锁袋口散口*2</t>
  </si>
  <si>
    <t>电脑四线锁边车</t>
  </si>
  <si>
    <t>实样刀车带线车袋盖净样线*2</t>
  </si>
  <si>
    <t>实样刀车带线车袋盖净样线*2（袋盖编号上吊挂）</t>
  </si>
  <si>
    <t>电脑单针切刀车</t>
  </si>
  <si>
    <t>平车压肶袋口明线*2</t>
  </si>
  <si>
    <t>平车压肶袋口明线*2（车台定位）</t>
  </si>
  <si>
    <t>实样包烫肶袋三边*2</t>
  </si>
  <si>
    <t>实样包烫肶袋三边*2（一次两片）包布烫</t>
  </si>
  <si>
    <t>4-前片</t>
  </si>
  <si>
    <t>冚车冚网布袋口*1</t>
  </si>
  <si>
    <t>电脑双针三线冚车</t>
  </si>
  <si>
    <t>实样扫粉袋布位*2</t>
  </si>
  <si>
    <t>平车跟扫粉印车侧方袋口下三角位线连固定袋布*2</t>
  </si>
  <si>
    <t>平车跟扫粉印车侧方袋口下三角位线连固定袋布*2   不下吊挂</t>
  </si>
  <si>
    <t>自动模板贴右袋布网袋</t>
  </si>
  <si>
    <t>自动模板贴右袋布网袋（一个模板3件）不含机器时间</t>
  </si>
  <si>
    <t>实样点前袋口位2*2</t>
  </si>
  <si>
    <t>实样点前袋口位2*2(带着做）</t>
  </si>
  <si>
    <t>冚车冚右网袋装饰线</t>
  </si>
  <si>
    <t>冚车冚右网袋装饰线*1（不剪线）</t>
  </si>
  <si>
    <t>电脑三针五线冚车</t>
  </si>
  <si>
    <t>半成品右网布袋口打枣*2</t>
  </si>
  <si>
    <t>电脑打枣车</t>
  </si>
  <si>
    <t>手工挑剪网袋口冚车线1*2</t>
  </si>
  <si>
    <t>四线锁脚叉散口*2</t>
  </si>
  <si>
    <t>四线锁袋布*2</t>
  </si>
  <si>
    <t>四线锁袋布*2（不下吊挂）</t>
  </si>
  <si>
    <t>平车落袋口暗线*2</t>
  </si>
  <si>
    <t>平车落袋口暗线*2     不下吊挂</t>
  </si>
  <si>
    <t>平车压袋口暗边线*2</t>
  </si>
  <si>
    <t>平车压袋口暗边线*2     带着做</t>
  </si>
  <si>
    <t>平车压前袋口宽明线及转角*2</t>
  </si>
  <si>
    <t>平车压前袋口宽明线及转角*2  不下吊挂  车台定位宽窄</t>
  </si>
  <si>
    <t>平车固定袋布于上方连固定袋口上下转角明线*2</t>
  </si>
  <si>
    <t>平车固定袋布于上方连固定袋口上下转角明线*2  不下吊挂</t>
  </si>
  <si>
    <t>四线合前浪及门襟位</t>
  </si>
  <si>
    <t>四线合前浪及门襟位*1</t>
  </si>
  <si>
    <t>平车固定前门襟一段</t>
  </si>
  <si>
    <t>平车固定前门襟一段*1（车台定位）</t>
  </si>
  <si>
    <t>冚车压前浪明线</t>
  </si>
  <si>
    <t>冚车压前浪明线*1（侧缝已合）</t>
  </si>
  <si>
    <t>实样运左前门襟“J”型线</t>
  </si>
  <si>
    <t>5-后片</t>
  </si>
  <si>
    <t>四线锁后机头*2</t>
  </si>
  <si>
    <t>冚车压后机头明线*2</t>
  </si>
  <si>
    <t>冚车压后机头明线*2  无解绑包</t>
  </si>
  <si>
    <t>四线对位合后浪</t>
  </si>
  <si>
    <t>四线对位合后浪*1</t>
  </si>
  <si>
    <t>冚车压后浪单线</t>
  </si>
  <si>
    <t>冚车压后浪单线   (侧缝已合）</t>
  </si>
  <si>
    <t>6-组合</t>
  </si>
  <si>
    <t>挂片</t>
  </si>
  <si>
    <t>挂片/配片</t>
  </si>
  <si>
    <t>B+</t>
  </si>
  <si>
    <t>平车合脚口拉链叉位一段*2</t>
  </si>
  <si>
    <t>平车合脚口拉链叉位一段*2（车台定位）</t>
  </si>
  <si>
    <t>四线合侧缝连脚叉位*2</t>
  </si>
  <si>
    <t>折叠固定拉链码带*2</t>
  </si>
  <si>
    <t>折叠固定拉链码带*2   带着做</t>
  </si>
  <si>
    <t>实样点侧缝肶袋及袋盖位2*7</t>
  </si>
  <si>
    <t>模板双针贴肶袋三边*2</t>
  </si>
  <si>
    <t>双针贴肶袋三边*2（口袋止口烫不平，需折）压杆回针</t>
  </si>
  <si>
    <t>平车压肶袋盖明线*2</t>
  </si>
  <si>
    <t>平车落肶袋盖及压肶袋盖明线*2</t>
  </si>
  <si>
    <t>一组全工序54.3秒，四组分成74和96工序，74工序29.6秒，96工序24.7秒。</t>
  </si>
  <si>
    <t>模板贴侧袋盖*2</t>
  </si>
  <si>
    <t>四组专用工序</t>
  </si>
  <si>
    <t>平车压肶袋盖明线*2（不含贴侧袋盖）</t>
  </si>
  <si>
    <t>平车对位上腰头暗线一周</t>
  </si>
  <si>
    <t>平车对位上腰头暗线一周（袋口位及侧缝位跟线）</t>
  </si>
  <si>
    <t>四线锁腰头一周</t>
  </si>
  <si>
    <t>四线锁腰头一周（已固定）橡筋腰头不能切止口</t>
  </si>
  <si>
    <t>平车订船标 尺码标及洗水标</t>
  </si>
  <si>
    <t>冚车上架冚腰头明线一周</t>
  </si>
  <si>
    <t>电脑三针四线冚车</t>
  </si>
  <si>
    <t>四线合底浪</t>
  </si>
  <si>
    <t>四线合底浪*1（对骨位）</t>
  </si>
  <si>
    <t>翻裤子</t>
  </si>
  <si>
    <t>平车固定拉链于脚口叉位*2</t>
  </si>
  <si>
    <t>点脚口拉链位*2</t>
  </si>
  <si>
    <t>点脚口拉链位*2（车台定位）带着做</t>
  </si>
  <si>
    <t>平车明落脚口拉链明线连转角*2</t>
  </si>
  <si>
    <t>平车明落脚口拉链明线连转角*2（拉链尾已固定脚口叉）</t>
  </si>
  <si>
    <t>平车还口车脚口*2</t>
  </si>
  <si>
    <t>平车还口车脚口*2     不下吊挂</t>
  </si>
  <si>
    <t>平车封脚口拉链*2*2</t>
  </si>
  <si>
    <t>平车封脚口拉链*2*2（带着做）</t>
  </si>
  <si>
    <t>四线锁脚口拉链尾散口*2</t>
  </si>
  <si>
    <t>脚口拉链尾订针连订锁边线2*2</t>
  </si>
  <si>
    <t>脚口拉链尾订针连订锁边线2*2  带着做</t>
  </si>
  <si>
    <t>中查</t>
  </si>
  <si>
    <t>检验</t>
  </si>
  <si>
    <t>7-专机</t>
  </si>
  <si>
    <t>打循环枣*12</t>
  </si>
  <si>
    <t>打前片袋口、纽牌枣*6</t>
  </si>
  <si>
    <t>CC</t>
  </si>
  <si>
    <t>打脚口拉链枣*2（套起打）</t>
  </si>
  <si>
    <t>打肶袋口枣*4（半成品打枣）17C0002款</t>
  </si>
  <si>
    <t>点肶袋四合扣底位*2</t>
  </si>
  <si>
    <t>机打四合扣底*2</t>
  </si>
  <si>
    <t>8-尾部</t>
  </si>
  <si>
    <t>尾部收货</t>
  </si>
  <si>
    <t>大烫</t>
  </si>
  <si>
    <t>大烫（整件上架）</t>
  </si>
  <si>
    <t>整烫</t>
  </si>
  <si>
    <t>尾查</t>
  </si>
  <si>
    <t>检验/剪线毛（扣肶袋四合扣*2）</t>
  </si>
  <si>
    <t>分色/分码</t>
  </si>
  <si>
    <t>分PO</t>
  </si>
  <si>
    <t>查码</t>
  </si>
  <si>
    <t>查看光差分类</t>
  </si>
  <si>
    <t>包装搬运</t>
  </si>
  <si>
    <t>打吊牌</t>
  </si>
  <si>
    <t>打吊牌*1</t>
  </si>
  <si>
    <t>折叠</t>
  </si>
  <si>
    <t>单件折叠放卡纸</t>
  </si>
  <si>
    <t>套腰封及调整腰封</t>
  </si>
  <si>
    <t>竖围尺码条</t>
  </si>
  <si>
    <t>贴腰封圆形透明贴纸*2</t>
  </si>
  <si>
    <t>包装后码货于托盘</t>
  </si>
  <si>
    <t>验针</t>
  </si>
  <si>
    <t>装箱前检查包装</t>
  </si>
  <si>
    <t>拉箱入库</t>
  </si>
  <si>
    <t>混色混码36件一箱</t>
  </si>
  <si>
    <t>混色混码36件一箱(写箱号 封箱 装箱 放天地板 封箱 称箱 放箱)</t>
  </si>
  <si>
    <t>贴胶袋贴纸</t>
  </si>
  <si>
    <t>贴胶袋贴纸*2（网单360件）</t>
  </si>
  <si>
    <t>单件装袋</t>
  </si>
  <si>
    <t>单件装袋自封袋放干燥剂（网单360件）</t>
  </si>
  <si>
    <t>独色独码装箱28件</t>
  </si>
  <si>
    <t>独色独码装箱28件（拉纸箱、写箱号、封箱底、套胶袋、放天地板、封箱、称重）</t>
  </si>
  <si>
    <t>贴箱贴*4（个）</t>
  </si>
  <si>
    <t>查时间标</t>
  </si>
  <si>
    <t>二次查标</t>
  </si>
  <si>
    <t>制表人：刘登强           审核：　　　    　    审批：       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</si>
</sst>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2" xfId="0" applyNumberFormat="1" applyFont="1" applyFill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176" fontId="1" fillId="4" borderId="1" xfId="0" applyNumberFormat="1" applyFont="1" applyFill="1" applyBorder="1">
      <alignment vertical="center"/>
    </xf>
    <xf numFmtId="177" fontId="1" fillId="4" borderId="1" xfId="0" applyNumberFormat="1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shrinkToFit="1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177" fontId="1" fillId="2" borderId="1" xfId="0" applyNumberFormat="1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49" fontId="1" fillId="0" borderId="1" xfId="0" applyNumberFormat="1" applyFont="1" applyBorder="1" applyAlignment="1">
      <alignment vertical="center" shrinkToFit="1"/>
    </xf>
    <xf numFmtId="0" fontId="1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406400</xdr:colOff>
      <xdr:row>0</xdr:row>
      <xdr:rowOff>64135</xdr:rowOff>
    </xdr:from>
    <xdr:to>
      <xdr:col>7</xdr:col>
      <xdr:colOff>626745</xdr:colOff>
      <xdr:row>22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07250" y="64135"/>
          <a:ext cx="2277745" cy="2387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406400</xdr:colOff>
      <xdr:row>0</xdr:row>
      <xdr:rowOff>64135</xdr:rowOff>
    </xdr:from>
    <xdr:to>
      <xdr:col>7</xdr:col>
      <xdr:colOff>626745</xdr:colOff>
      <xdr:row>22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07250" y="64135"/>
          <a:ext cx="2277745" cy="2387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49"/>
  <sheetViews>
    <sheetView view="pageBreakPreview" zoomScale="130" zoomScaleNormal="100" workbookViewId="0">
      <selection activeCell="L52" sqref="L52"/>
    </sheetView>
  </sheetViews>
  <sheetFormatPr defaultColWidth="9" defaultRowHeight="12"/>
  <cols>
    <col min="1" max="1" width="9" style="2"/>
    <col min="2" max="2" width="35.625" style="3" customWidth="1"/>
    <col min="3" max="3" width="35.625" style="1" customWidth="1"/>
    <col min="4" max="94" width="9" style="1"/>
    <col min="95" max="95" width="60.7666666666667" style="1" customWidth="1"/>
    <col min="96" max="16384" width="9" style="1"/>
  </cols>
  <sheetData>
    <row r="1" ht="25.5" spans="1:8">
      <c r="A1" s="4" t="s">
        <v>0</v>
      </c>
      <c r="B1" s="5"/>
      <c r="C1" s="4"/>
      <c r="D1" s="4"/>
      <c r="E1" s="4"/>
      <c r="F1" s="4"/>
      <c r="G1" s="4"/>
      <c r="H1" s="4"/>
    </row>
    <row r="2" ht="20.25" spans="1:8">
      <c r="A2" s="6" t="s">
        <v>1</v>
      </c>
      <c r="B2" s="7"/>
      <c r="C2" s="6"/>
      <c r="D2" s="6"/>
      <c r="E2" s="6"/>
      <c r="F2" s="6"/>
      <c r="G2" s="6"/>
      <c r="H2" s="6"/>
    </row>
    <row r="3" spans="1:8">
      <c r="A3" s="8" t="s">
        <v>2</v>
      </c>
      <c r="B3" s="9"/>
      <c r="C3" s="10"/>
      <c r="D3" s="10"/>
      <c r="E3" s="10"/>
      <c r="F3" s="10"/>
      <c r="G3" s="10"/>
      <c r="H3" s="10"/>
    </row>
    <row r="4" spans="1:8">
      <c r="A4" s="11" t="s">
        <v>3</v>
      </c>
      <c r="B4" s="12" t="s">
        <v>4</v>
      </c>
      <c r="C4" s="10"/>
      <c r="D4" s="10"/>
      <c r="E4" s="10"/>
      <c r="F4" s="13"/>
      <c r="G4" s="13"/>
      <c r="H4" s="13"/>
    </row>
    <row r="5" spans="1:8">
      <c r="A5" s="11" t="s">
        <v>5</v>
      </c>
      <c r="B5" s="12" t="s">
        <v>6</v>
      </c>
      <c r="C5" s="10"/>
      <c r="D5" s="10"/>
      <c r="E5" s="10"/>
      <c r="F5" s="13"/>
      <c r="G5" s="13"/>
      <c r="H5" s="13"/>
    </row>
    <row r="6" spans="1:8">
      <c r="A6" s="11" t="s">
        <v>7</v>
      </c>
      <c r="B6" s="14" t="s">
        <v>8</v>
      </c>
      <c r="C6" s="15"/>
      <c r="D6" s="15"/>
      <c r="E6" s="15"/>
      <c r="F6" s="13"/>
      <c r="G6" s="13"/>
      <c r="H6" s="13"/>
    </row>
    <row r="7" customHeight="1" spans="1:95">
      <c r="A7" s="11" t="s">
        <v>9</v>
      </c>
      <c r="B7" s="16" t="s">
        <v>10</v>
      </c>
      <c r="C7" s="17"/>
      <c r="D7" s="17"/>
      <c r="E7" s="17"/>
      <c r="F7" s="13"/>
      <c r="G7" s="13"/>
      <c r="H7" s="13"/>
      <c r="CQ7" s="33"/>
    </row>
    <row r="8" customHeight="1" spans="1:95">
      <c r="A8" s="11" t="s">
        <v>11</v>
      </c>
      <c r="B8" s="16"/>
      <c r="C8" s="17"/>
      <c r="D8" s="17"/>
      <c r="E8" s="17"/>
      <c r="F8" s="13"/>
      <c r="G8" s="13"/>
      <c r="H8" s="13"/>
      <c r="CQ8" s="33"/>
    </row>
    <row r="9" spans="1:8">
      <c r="A9" s="11" t="s">
        <v>12</v>
      </c>
      <c r="B9" s="12">
        <v>19134</v>
      </c>
      <c r="C9" s="10"/>
      <c r="D9" s="10"/>
      <c r="E9" s="10"/>
      <c r="F9" s="13"/>
      <c r="G9" s="13"/>
      <c r="H9" s="13"/>
    </row>
    <row r="10" spans="1:8">
      <c r="A10" s="11" t="s">
        <v>13</v>
      </c>
      <c r="B10" s="12">
        <f>SUM(F46:F115)-F94</f>
        <v>1533.4</v>
      </c>
      <c r="C10" s="10"/>
      <c r="D10" s="10"/>
      <c r="E10" s="10"/>
      <c r="F10" s="13"/>
      <c r="G10" s="13"/>
      <c r="H10" s="13"/>
    </row>
    <row r="11" spans="1:8">
      <c r="A11" s="11" t="s">
        <v>14</v>
      </c>
      <c r="B11" s="18">
        <f>37800/B10</f>
        <v>24.6511021259945</v>
      </c>
      <c r="C11" s="10"/>
      <c r="D11" s="10"/>
      <c r="E11" s="10"/>
      <c r="F11" s="13"/>
      <c r="G11" s="13"/>
      <c r="H11" s="13"/>
    </row>
    <row r="12" hidden="1" spans="1:8">
      <c r="A12" s="11" t="s">
        <v>15</v>
      </c>
      <c r="B12" s="12"/>
      <c r="C12" s="19"/>
      <c r="D12" s="19"/>
      <c r="E12" s="19"/>
      <c r="F12" s="13"/>
      <c r="G12" s="13"/>
      <c r="H12" s="13"/>
    </row>
    <row r="13" hidden="1" spans="1:8">
      <c r="A13" s="11" t="s">
        <v>16</v>
      </c>
      <c r="B13" s="12"/>
      <c r="C13" s="10"/>
      <c r="D13" s="10"/>
      <c r="E13" s="10"/>
      <c r="F13" s="13"/>
      <c r="G13" s="13"/>
      <c r="H13" s="13"/>
    </row>
    <row r="14" hidden="1" spans="1:8">
      <c r="A14" s="11" t="s">
        <v>17</v>
      </c>
      <c r="B14" s="12"/>
      <c r="C14" s="10"/>
      <c r="D14" s="10"/>
      <c r="E14" s="10"/>
      <c r="F14" s="13"/>
      <c r="G14" s="13"/>
      <c r="H14" s="13"/>
    </row>
    <row r="15" hidden="1" spans="1:8">
      <c r="A15" s="11" t="s">
        <v>18</v>
      </c>
      <c r="B15" s="12"/>
      <c r="C15" s="10"/>
      <c r="D15" s="10"/>
      <c r="E15" s="10"/>
      <c r="F15" s="13"/>
      <c r="G15" s="13"/>
      <c r="H15" s="13"/>
    </row>
    <row r="16" hidden="1" spans="1:8">
      <c r="A16" s="11" t="s">
        <v>19</v>
      </c>
      <c r="B16" s="12"/>
      <c r="C16" s="10"/>
      <c r="D16" s="10"/>
      <c r="E16" s="10"/>
      <c r="F16" s="13"/>
      <c r="G16" s="13"/>
      <c r="H16" s="13"/>
    </row>
    <row r="17" hidden="1" spans="1:8">
      <c r="A17" s="11" t="s">
        <v>20</v>
      </c>
      <c r="B17" s="12"/>
      <c r="C17" s="10"/>
      <c r="D17" s="10"/>
      <c r="E17" s="10"/>
      <c r="F17" s="13"/>
      <c r="G17" s="13"/>
      <c r="H17" s="13"/>
    </row>
    <row r="18" hidden="1" customHeight="1" spans="1:95">
      <c r="A18" s="11" t="s">
        <v>21</v>
      </c>
      <c r="B18" s="16"/>
      <c r="C18" s="17"/>
      <c r="D18" s="17"/>
      <c r="E18" s="17"/>
      <c r="F18" s="13"/>
      <c r="G18" s="13"/>
      <c r="H18" s="13"/>
      <c r="CQ18" s="33"/>
    </row>
    <row r="19" hidden="1" spans="1:8">
      <c r="A19" s="11"/>
      <c r="B19" s="12"/>
      <c r="C19" s="10"/>
      <c r="D19" s="10"/>
      <c r="E19" s="10"/>
      <c r="F19" s="13"/>
      <c r="G19" s="13"/>
      <c r="H19" s="13"/>
    </row>
    <row r="20" spans="1:8">
      <c r="A20" s="20" t="s">
        <v>22</v>
      </c>
      <c r="B20" s="21" t="s">
        <v>23</v>
      </c>
      <c r="C20" s="20" t="s">
        <v>23</v>
      </c>
      <c r="D20" s="20" t="s">
        <v>24</v>
      </c>
      <c r="E20" s="20" t="s">
        <v>25</v>
      </c>
      <c r="F20" s="20" t="s">
        <v>26</v>
      </c>
      <c r="G20" s="20" t="s">
        <v>27</v>
      </c>
      <c r="H20" s="20" t="s">
        <v>28</v>
      </c>
    </row>
    <row r="21" spans="1:8">
      <c r="A21" s="8"/>
      <c r="B21" s="22" t="s">
        <v>29</v>
      </c>
      <c r="C21" s="23" t="s">
        <v>29</v>
      </c>
      <c r="D21" s="23"/>
      <c r="E21" s="23"/>
      <c r="F21" s="23"/>
      <c r="G21" s="23"/>
      <c r="H21" s="23"/>
    </row>
    <row r="22" spans="1:8">
      <c r="A22" s="8">
        <v>1</v>
      </c>
      <c r="B22" s="24" t="s">
        <v>30</v>
      </c>
      <c r="C22" s="25" t="s">
        <v>31</v>
      </c>
      <c r="D22" s="13" t="s">
        <v>32</v>
      </c>
      <c r="E22" s="26">
        <v>6.5</v>
      </c>
      <c r="F22" s="26">
        <v>7.3</v>
      </c>
      <c r="G22" s="8" t="s">
        <v>33</v>
      </c>
      <c r="H22" s="27">
        <v>493</v>
      </c>
    </row>
    <row r="23" spans="1:8">
      <c r="A23" s="8">
        <v>155</v>
      </c>
      <c r="B23" s="24" t="s">
        <v>34</v>
      </c>
      <c r="C23" s="25" t="s">
        <v>35</v>
      </c>
      <c r="D23" s="13" t="s">
        <v>36</v>
      </c>
      <c r="E23" s="26">
        <v>16.8</v>
      </c>
      <c r="F23" s="26">
        <v>18.9</v>
      </c>
      <c r="G23" s="8" t="s">
        <v>37</v>
      </c>
      <c r="H23" s="27">
        <v>190</v>
      </c>
    </row>
    <row r="24" spans="1:8">
      <c r="A24" s="8">
        <v>2</v>
      </c>
      <c r="B24" s="24" t="s">
        <v>38</v>
      </c>
      <c r="C24" s="25" t="s">
        <v>39</v>
      </c>
      <c r="D24" s="13" t="s">
        <v>40</v>
      </c>
      <c r="E24" s="26">
        <v>10.9</v>
      </c>
      <c r="F24" s="26">
        <v>12</v>
      </c>
      <c r="G24" s="8" t="s">
        <v>41</v>
      </c>
      <c r="H24" s="27">
        <v>300</v>
      </c>
    </row>
    <row r="25" spans="1:8">
      <c r="A25" s="8">
        <v>5</v>
      </c>
      <c r="B25" s="24" t="s">
        <v>42</v>
      </c>
      <c r="C25" s="25" t="s">
        <v>43</v>
      </c>
      <c r="D25" s="13" t="s">
        <v>44</v>
      </c>
      <c r="E25" s="26">
        <v>17.3</v>
      </c>
      <c r="F25" s="26">
        <v>19.1</v>
      </c>
      <c r="G25" s="8" t="s">
        <v>33</v>
      </c>
      <c r="H25" s="27">
        <v>188</v>
      </c>
    </row>
    <row r="26" spans="1:8">
      <c r="A26" s="8"/>
      <c r="B26" s="24" t="s">
        <v>45</v>
      </c>
      <c r="C26" s="25" t="s">
        <v>46</v>
      </c>
      <c r="D26" s="13" t="s">
        <v>44</v>
      </c>
      <c r="E26" s="26">
        <v>21.5</v>
      </c>
      <c r="F26" s="26">
        <v>23.8</v>
      </c>
      <c r="G26" s="8" t="s">
        <v>33</v>
      </c>
      <c r="H26" s="27">
        <v>151</v>
      </c>
    </row>
    <row r="27" ht="14" customHeight="1" spans="1:8">
      <c r="A27" s="8">
        <v>170</v>
      </c>
      <c r="B27" s="24" t="s">
        <v>47</v>
      </c>
      <c r="C27" s="25" t="s">
        <v>48</v>
      </c>
      <c r="D27" s="13" t="s">
        <v>44</v>
      </c>
      <c r="E27" s="26">
        <v>20.7</v>
      </c>
      <c r="F27" s="26">
        <v>22.9</v>
      </c>
      <c r="G27" s="8" t="s">
        <v>33</v>
      </c>
      <c r="H27" s="27">
        <v>157</v>
      </c>
    </row>
    <row r="28" spans="1:8">
      <c r="A28" s="8">
        <v>3</v>
      </c>
      <c r="B28" s="24" t="s">
        <v>49</v>
      </c>
      <c r="C28" s="25" t="s">
        <v>50</v>
      </c>
      <c r="D28" s="13" t="s">
        <v>36</v>
      </c>
      <c r="E28" s="26">
        <v>0.4</v>
      </c>
      <c r="F28" s="26">
        <v>0.5</v>
      </c>
      <c r="G28" s="8" t="s">
        <v>37</v>
      </c>
      <c r="H28" s="27">
        <v>7200</v>
      </c>
    </row>
    <row r="29" spans="1:8">
      <c r="A29" s="8">
        <v>12</v>
      </c>
      <c r="B29" s="24" t="s">
        <v>51</v>
      </c>
      <c r="C29" s="25" t="s">
        <v>52</v>
      </c>
      <c r="D29" s="13" t="s">
        <v>40</v>
      </c>
      <c r="E29" s="26">
        <v>1.4</v>
      </c>
      <c r="F29" s="26">
        <v>1.6</v>
      </c>
      <c r="G29" s="8" t="s">
        <v>41</v>
      </c>
      <c r="H29" s="27">
        <v>2250</v>
      </c>
    </row>
    <row r="30" spans="1:8">
      <c r="A30" s="8">
        <v>15</v>
      </c>
      <c r="B30" s="24" t="s">
        <v>53</v>
      </c>
      <c r="C30" s="25" t="s">
        <v>54</v>
      </c>
      <c r="D30" s="13" t="s">
        <v>44</v>
      </c>
      <c r="E30" s="26">
        <v>0.9</v>
      </c>
      <c r="F30" s="26">
        <v>1</v>
      </c>
      <c r="G30" s="8" t="s">
        <v>33</v>
      </c>
      <c r="H30" s="27">
        <v>3600</v>
      </c>
    </row>
    <row r="31" spans="1:8">
      <c r="A31" s="8">
        <v>202</v>
      </c>
      <c r="B31" s="24" t="s">
        <v>55</v>
      </c>
      <c r="C31" s="25" t="s">
        <v>56</v>
      </c>
      <c r="D31" s="13" t="s">
        <v>32</v>
      </c>
      <c r="E31" s="26">
        <v>0.1</v>
      </c>
      <c r="F31" s="26">
        <v>0.1</v>
      </c>
      <c r="G31" s="8" t="s">
        <v>33</v>
      </c>
      <c r="H31" s="27">
        <v>36000</v>
      </c>
    </row>
    <row r="32" spans="1:8">
      <c r="A32" s="8">
        <v>203</v>
      </c>
      <c r="B32" s="24" t="s">
        <v>57</v>
      </c>
      <c r="C32" s="25" t="s">
        <v>58</v>
      </c>
      <c r="D32" s="13" t="s">
        <v>32</v>
      </c>
      <c r="E32" s="26">
        <v>0.4</v>
      </c>
      <c r="F32" s="26">
        <v>0.4</v>
      </c>
      <c r="G32" s="8" t="s">
        <v>33</v>
      </c>
      <c r="H32" s="27">
        <v>9000</v>
      </c>
    </row>
    <row r="33" spans="1:8">
      <c r="A33" s="8">
        <v>200</v>
      </c>
      <c r="B33" s="24" t="s">
        <v>59</v>
      </c>
      <c r="C33" s="25" t="s">
        <v>60</v>
      </c>
      <c r="D33" s="13" t="s">
        <v>36</v>
      </c>
      <c r="E33" s="26">
        <v>1.2</v>
      </c>
      <c r="F33" s="26">
        <v>1.3</v>
      </c>
      <c r="G33" s="8" t="s">
        <v>37</v>
      </c>
      <c r="H33" s="27">
        <v>2769</v>
      </c>
    </row>
    <row r="34" spans="1:8">
      <c r="A34" s="8">
        <v>7</v>
      </c>
      <c r="B34" s="24" t="s">
        <v>61</v>
      </c>
      <c r="C34" s="25" t="s">
        <v>62</v>
      </c>
      <c r="D34" s="13" t="s">
        <v>36</v>
      </c>
      <c r="E34" s="26">
        <v>0.1</v>
      </c>
      <c r="F34" s="26">
        <v>0.2</v>
      </c>
      <c r="G34" s="8" t="s">
        <v>37</v>
      </c>
      <c r="H34" s="27">
        <v>18000</v>
      </c>
    </row>
    <row r="35" spans="1:8">
      <c r="A35" s="8">
        <v>201</v>
      </c>
      <c r="B35" s="24" t="s">
        <v>63</v>
      </c>
      <c r="C35" s="25" t="s">
        <v>64</v>
      </c>
      <c r="D35" s="13" t="s">
        <v>65</v>
      </c>
      <c r="E35" s="26">
        <v>1</v>
      </c>
      <c r="F35" s="26">
        <v>1</v>
      </c>
      <c r="G35" s="8" t="s">
        <v>41</v>
      </c>
      <c r="H35" s="27">
        <v>3600</v>
      </c>
    </row>
    <row r="36" spans="1:8">
      <c r="A36" s="8">
        <v>10</v>
      </c>
      <c r="B36" s="24" t="s">
        <v>66</v>
      </c>
      <c r="C36" s="25" t="s">
        <v>67</v>
      </c>
      <c r="D36" s="13" t="s">
        <v>65</v>
      </c>
      <c r="E36" s="26">
        <v>0.5</v>
      </c>
      <c r="F36" s="26">
        <v>0.5</v>
      </c>
      <c r="G36" s="8" t="s">
        <v>41</v>
      </c>
      <c r="H36" s="27">
        <v>7200</v>
      </c>
    </row>
    <row r="37" spans="1:8">
      <c r="A37" s="8">
        <v>4</v>
      </c>
      <c r="B37" s="24" t="s">
        <v>68</v>
      </c>
      <c r="C37" s="25" t="s">
        <v>69</v>
      </c>
      <c r="D37" s="13" t="s">
        <v>44</v>
      </c>
      <c r="E37" s="26">
        <v>1.3</v>
      </c>
      <c r="F37" s="26">
        <v>1.4</v>
      </c>
      <c r="G37" s="8" t="s">
        <v>33</v>
      </c>
      <c r="H37" s="27">
        <v>2571</v>
      </c>
    </row>
    <row r="38" spans="1:8">
      <c r="A38" s="8">
        <v>14</v>
      </c>
      <c r="B38" s="24" t="s">
        <v>70</v>
      </c>
      <c r="C38" s="25" t="s">
        <v>71</v>
      </c>
      <c r="D38" s="13" t="s">
        <v>44</v>
      </c>
      <c r="E38" s="26">
        <v>0.5</v>
      </c>
      <c r="F38" s="26">
        <v>0.6</v>
      </c>
      <c r="G38" s="8" t="s">
        <v>33</v>
      </c>
      <c r="H38" s="27">
        <v>6000</v>
      </c>
    </row>
    <row r="39" spans="1:8">
      <c r="A39" s="8">
        <v>54</v>
      </c>
      <c r="B39" s="24" t="s">
        <v>72</v>
      </c>
      <c r="C39" s="25" t="s">
        <v>73</v>
      </c>
      <c r="D39" s="13" t="s">
        <v>74</v>
      </c>
      <c r="E39" s="26">
        <v>18.6</v>
      </c>
      <c r="F39" s="26">
        <v>21</v>
      </c>
      <c r="G39" s="8" t="s">
        <v>33</v>
      </c>
      <c r="H39" s="27">
        <v>171</v>
      </c>
    </row>
    <row r="40" spans="1:8">
      <c r="A40" s="8">
        <v>17</v>
      </c>
      <c r="B40" s="24" t="s">
        <v>75</v>
      </c>
      <c r="C40" s="25" t="s">
        <v>76</v>
      </c>
      <c r="D40" s="13" t="s">
        <v>77</v>
      </c>
      <c r="E40" s="26">
        <v>36.6</v>
      </c>
      <c r="F40" s="26">
        <v>41.2</v>
      </c>
      <c r="G40" s="8" t="s">
        <v>33</v>
      </c>
      <c r="H40" s="27">
        <v>87</v>
      </c>
    </row>
    <row r="41" spans="1:8">
      <c r="A41" s="8">
        <v>18</v>
      </c>
      <c r="B41" s="24" t="s">
        <v>78</v>
      </c>
      <c r="C41" s="25" t="s">
        <v>79</v>
      </c>
      <c r="D41" s="13" t="s">
        <v>74</v>
      </c>
      <c r="E41" s="26">
        <v>11.2</v>
      </c>
      <c r="F41" s="26">
        <v>12.6</v>
      </c>
      <c r="G41" s="8" t="s">
        <v>37</v>
      </c>
      <c r="H41" s="27">
        <v>286</v>
      </c>
    </row>
    <row r="42" spans="1:8">
      <c r="A42" s="8">
        <v>19</v>
      </c>
      <c r="B42" s="24" t="s">
        <v>80</v>
      </c>
      <c r="C42" s="25" t="s">
        <v>81</v>
      </c>
      <c r="D42" s="13" t="s">
        <v>82</v>
      </c>
      <c r="E42" s="26">
        <v>2.8</v>
      </c>
      <c r="F42" s="26">
        <v>3.2</v>
      </c>
      <c r="G42" s="8" t="s">
        <v>33</v>
      </c>
      <c r="H42" s="27">
        <v>1125</v>
      </c>
    </row>
    <row r="43" spans="1:2">
      <c r="A43" s="8">
        <v>11</v>
      </c>
      <c r="B43" s="24" t="s">
        <v>83</v>
      </c>
    </row>
    <row r="44" spans="1:2">
      <c r="A44" s="8">
        <v>190</v>
      </c>
      <c r="B44" s="24" t="s">
        <v>84</v>
      </c>
    </row>
    <row r="45" spans="1:8">
      <c r="A45" s="8"/>
      <c r="B45" s="22" t="s">
        <v>85</v>
      </c>
      <c r="C45" s="23" t="s">
        <v>85</v>
      </c>
      <c r="D45" s="23"/>
      <c r="E45" s="23"/>
      <c r="F45" s="23"/>
      <c r="G45" s="23"/>
      <c r="H45" s="23"/>
    </row>
    <row r="46" spans="1:8">
      <c r="A46" s="8">
        <v>21</v>
      </c>
      <c r="B46" s="24" t="s">
        <v>86</v>
      </c>
      <c r="C46" s="25" t="s">
        <v>86</v>
      </c>
      <c r="D46" s="13" t="s">
        <v>44</v>
      </c>
      <c r="E46" s="26">
        <v>2.9</v>
      </c>
      <c r="F46" s="26">
        <v>3.2</v>
      </c>
      <c r="G46" s="8" t="s">
        <v>87</v>
      </c>
      <c r="H46" s="27">
        <v>1125</v>
      </c>
    </row>
    <row r="47" spans="1:8">
      <c r="A47" s="28">
        <v>22</v>
      </c>
      <c r="B47" s="29" t="s">
        <v>88</v>
      </c>
      <c r="C47" s="29" t="s">
        <v>89</v>
      </c>
      <c r="D47" s="30" t="s">
        <v>90</v>
      </c>
      <c r="E47" s="31">
        <v>7.3</v>
      </c>
      <c r="F47" s="31">
        <v>8.1</v>
      </c>
      <c r="G47" s="28" t="s">
        <v>91</v>
      </c>
      <c r="H47" s="32">
        <v>444</v>
      </c>
    </row>
    <row r="48" spans="1:8">
      <c r="A48" s="8">
        <v>23</v>
      </c>
      <c r="B48" s="24" t="s">
        <v>92</v>
      </c>
      <c r="C48" s="25" t="s">
        <v>93</v>
      </c>
      <c r="D48" s="13" t="s">
        <v>44</v>
      </c>
      <c r="E48" s="26">
        <v>8.4</v>
      </c>
      <c r="F48" s="26">
        <v>9.2</v>
      </c>
      <c r="G48" s="8" t="s">
        <v>33</v>
      </c>
      <c r="H48" s="27">
        <v>391</v>
      </c>
    </row>
    <row r="49" spans="1:8">
      <c r="A49" s="8">
        <v>24</v>
      </c>
      <c r="B49" s="24" t="s">
        <v>94</v>
      </c>
      <c r="C49" s="25" t="s">
        <v>95</v>
      </c>
      <c r="D49" s="13" t="s">
        <v>96</v>
      </c>
      <c r="E49" s="26">
        <v>10.7</v>
      </c>
      <c r="F49" s="26">
        <v>11.9</v>
      </c>
      <c r="G49" s="8" t="s">
        <v>97</v>
      </c>
      <c r="H49" s="27">
        <v>303</v>
      </c>
    </row>
    <row r="50" spans="1:9">
      <c r="A50" s="28">
        <v>25</v>
      </c>
      <c r="B50" s="29" t="s">
        <v>88</v>
      </c>
      <c r="C50" s="29" t="s">
        <v>89</v>
      </c>
      <c r="D50" s="30" t="s">
        <v>90</v>
      </c>
      <c r="E50" s="31">
        <v>10.1</v>
      </c>
      <c r="F50" s="31">
        <v>11.2</v>
      </c>
      <c r="G50" s="28" t="s">
        <v>91</v>
      </c>
      <c r="H50" s="32">
        <v>321</v>
      </c>
      <c r="I50" s="1" t="s">
        <v>98</v>
      </c>
    </row>
    <row r="51" spans="1:8">
      <c r="A51" s="8">
        <v>26</v>
      </c>
      <c r="B51" s="24" t="s">
        <v>99</v>
      </c>
      <c r="C51" s="25" t="s">
        <v>100</v>
      </c>
      <c r="D51" s="13" t="s">
        <v>90</v>
      </c>
      <c r="E51" s="26">
        <v>9.8</v>
      </c>
      <c r="F51" s="26">
        <v>10.8</v>
      </c>
      <c r="G51" s="8" t="s">
        <v>91</v>
      </c>
      <c r="H51" s="27">
        <v>333</v>
      </c>
    </row>
    <row r="52" spans="1:8">
      <c r="A52" s="8">
        <v>28</v>
      </c>
      <c r="B52" s="24" t="s">
        <v>101</v>
      </c>
      <c r="C52" s="25" t="s">
        <v>102</v>
      </c>
      <c r="D52" s="13" t="s">
        <v>90</v>
      </c>
      <c r="E52" s="26">
        <v>10.3</v>
      </c>
      <c r="F52" s="26">
        <v>11.5</v>
      </c>
      <c r="G52" s="8" t="s">
        <v>97</v>
      </c>
      <c r="H52" s="27">
        <v>313</v>
      </c>
    </row>
    <row r="53" spans="1:8">
      <c r="A53" s="8">
        <v>29</v>
      </c>
      <c r="B53" s="24" t="s">
        <v>103</v>
      </c>
      <c r="C53" s="25" t="s">
        <v>104</v>
      </c>
      <c r="D53" s="13" t="s">
        <v>44</v>
      </c>
      <c r="E53" s="26">
        <v>6.2</v>
      </c>
      <c r="F53" s="26">
        <v>6.8</v>
      </c>
      <c r="G53" s="8" t="s">
        <v>87</v>
      </c>
      <c r="H53" s="27">
        <v>529</v>
      </c>
    </row>
    <row r="54" spans="1:8">
      <c r="A54" s="8">
        <v>30</v>
      </c>
      <c r="B54" s="24" t="s">
        <v>105</v>
      </c>
      <c r="C54" s="25" t="s">
        <v>106</v>
      </c>
      <c r="D54" s="13" t="s">
        <v>90</v>
      </c>
      <c r="E54" s="26">
        <v>10.3</v>
      </c>
      <c r="F54" s="26">
        <v>11.4</v>
      </c>
      <c r="G54" s="8" t="s">
        <v>97</v>
      </c>
      <c r="H54" s="27">
        <v>316</v>
      </c>
    </row>
    <row r="55" ht="24" spans="1:8">
      <c r="A55" s="8">
        <v>31</v>
      </c>
      <c r="B55" s="24" t="s">
        <v>107</v>
      </c>
      <c r="C55" s="25" t="s">
        <v>108</v>
      </c>
      <c r="D55" s="13" t="s">
        <v>109</v>
      </c>
      <c r="E55" s="26">
        <v>27.3</v>
      </c>
      <c r="F55" s="26">
        <v>30.5</v>
      </c>
      <c r="G55" s="8" t="s">
        <v>97</v>
      </c>
      <c r="H55" s="27">
        <v>118</v>
      </c>
    </row>
    <row r="56" spans="1:8">
      <c r="A56" s="8">
        <v>90</v>
      </c>
      <c r="B56" s="24" t="s">
        <v>110</v>
      </c>
      <c r="C56" s="25" t="s">
        <v>111</v>
      </c>
      <c r="D56" s="13" t="s">
        <v>44</v>
      </c>
      <c r="E56" s="26">
        <v>34.4</v>
      </c>
      <c r="F56" s="26">
        <v>38.1</v>
      </c>
      <c r="G56" s="8" t="s">
        <v>33</v>
      </c>
      <c r="H56" s="27">
        <v>94</v>
      </c>
    </row>
    <row r="57" spans="1:8">
      <c r="A57" s="8">
        <v>32</v>
      </c>
      <c r="B57" s="24" t="s">
        <v>112</v>
      </c>
      <c r="C57" s="25" t="s">
        <v>113</v>
      </c>
      <c r="D57" s="13" t="s">
        <v>44</v>
      </c>
      <c r="E57" s="26">
        <v>6.2</v>
      </c>
      <c r="F57" s="26">
        <v>6.8</v>
      </c>
      <c r="G57" s="8" t="s">
        <v>87</v>
      </c>
      <c r="H57" s="27">
        <v>529</v>
      </c>
    </row>
    <row r="58" ht="24" spans="1:8">
      <c r="A58" s="8">
        <v>33</v>
      </c>
      <c r="B58" s="24" t="s">
        <v>114</v>
      </c>
      <c r="C58" s="25" t="s">
        <v>115</v>
      </c>
      <c r="D58" s="13" t="s">
        <v>90</v>
      </c>
      <c r="E58" s="26">
        <v>14.3</v>
      </c>
      <c r="F58" s="26">
        <v>15.8</v>
      </c>
      <c r="G58" s="8" t="s">
        <v>97</v>
      </c>
      <c r="H58" s="27">
        <v>228</v>
      </c>
    </row>
    <row r="59" spans="1:8">
      <c r="A59" s="8">
        <v>34</v>
      </c>
      <c r="B59" s="24" t="s">
        <v>116</v>
      </c>
      <c r="C59" s="25" t="s">
        <v>117</v>
      </c>
      <c r="D59" s="13" t="s">
        <v>118</v>
      </c>
      <c r="E59" s="26">
        <v>32.7</v>
      </c>
      <c r="F59" s="26">
        <v>37.1</v>
      </c>
      <c r="G59" s="8" t="s">
        <v>119</v>
      </c>
      <c r="H59" s="27">
        <v>97</v>
      </c>
    </row>
    <row r="60" spans="1:8">
      <c r="A60" s="8"/>
      <c r="B60" s="22" t="s">
        <v>120</v>
      </c>
      <c r="C60" s="23" t="s">
        <v>120</v>
      </c>
      <c r="D60" s="23"/>
      <c r="E60" s="23"/>
      <c r="F60" s="23"/>
      <c r="G60" s="23"/>
      <c r="H60" s="23"/>
    </row>
    <row r="61" spans="1:8">
      <c r="A61" s="8">
        <v>37</v>
      </c>
      <c r="B61" s="24" t="s">
        <v>121</v>
      </c>
      <c r="C61" s="25" t="s">
        <v>122</v>
      </c>
      <c r="D61" s="13" t="s">
        <v>123</v>
      </c>
      <c r="E61" s="26">
        <v>16.3</v>
      </c>
      <c r="F61" s="26">
        <v>18</v>
      </c>
      <c r="G61" s="8" t="s">
        <v>97</v>
      </c>
      <c r="H61" s="27">
        <v>200</v>
      </c>
    </row>
    <row r="62" spans="1:8">
      <c r="A62" s="8">
        <v>38</v>
      </c>
      <c r="B62" s="24" t="s">
        <v>124</v>
      </c>
      <c r="C62" s="25" t="s">
        <v>125</v>
      </c>
      <c r="D62" s="13" t="s">
        <v>126</v>
      </c>
      <c r="E62" s="26">
        <v>15.8</v>
      </c>
      <c r="F62" s="26">
        <v>17.4</v>
      </c>
      <c r="G62" s="8" t="s">
        <v>91</v>
      </c>
      <c r="H62" s="27">
        <v>207</v>
      </c>
    </row>
    <row r="63" spans="1:8">
      <c r="A63" s="8">
        <v>39</v>
      </c>
      <c r="B63" s="24" t="s">
        <v>127</v>
      </c>
      <c r="C63" s="25" t="s">
        <v>127</v>
      </c>
      <c r="D63" s="13" t="s">
        <v>44</v>
      </c>
      <c r="E63" s="26">
        <v>21.8</v>
      </c>
      <c r="F63" s="26">
        <v>24.1</v>
      </c>
      <c r="G63" s="8" t="s">
        <v>87</v>
      </c>
      <c r="H63" s="27">
        <v>149</v>
      </c>
    </row>
    <row r="64" spans="1:8">
      <c r="A64" s="8">
        <v>41</v>
      </c>
      <c r="B64" s="24" t="s">
        <v>128</v>
      </c>
      <c r="C64" s="25" t="s">
        <v>128</v>
      </c>
      <c r="D64" s="13" t="s">
        <v>129</v>
      </c>
      <c r="E64" s="26">
        <v>34.5</v>
      </c>
      <c r="F64" s="26">
        <v>40.1</v>
      </c>
      <c r="G64" s="8" t="s">
        <v>97</v>
      </c>
      <c r="H64" s="27">
        <v>90</v>
      </c>
    </row>
    <row r="65" spans="1:8">
      <c r="A65" s="8">
        <v>42</v>
      </c>
      <c r="B65" s="24" t="s">
        <v>130</v>
      </c>
      <c r="C65" s="25" t="s">
        <v>130</v>
      </c>
      <c r="D65" s="13" t="s">
        <v>131</v>
      </c>
      <c r="E65" s="26">
        <v>9.8</v>
      </c>
      <c r="F65" s="26">
        <v>10.9</v>
      </c>
      <c r="G65" s="8" t="s">
        <v>91</v>
      </c>
      <c r="H65" s="27">
        <v>330</v>
      </c>
    </row>
    <row r="66" spans="1:8">
      <c r="A66" s="34">
        <v>43</v>
      </c>
      <c r="B66" s="24" t="s">
        <v>132</v>
      </c>
      <c r="C66" s="35" t="s">
        <v>133</v>
      </c>
      <c r="D66" s="36" t="s">
        <v>134</v>
      </c>
      <c r="E66" s="37">
        <v>19.4</v>
      </c>
      <c r="F66" s="37">
        <v>21.7</v>
      </c>
      <c r="G66" s="34" t="s">
        <v>91</v>
      </c>
      <c r="H66" s="38">
        <v>166</v>
      </c>
    </row>
    <row r="67" spans="1:8">
      <c r="A67" s="8">
        <v>44</v>
      </c>
      <c r="B67" s="24" t="s">
        <v>135</v>
      </c>
      <c r="C67" s="25" t="s">
        <v>136</v>
      </c>
      <c r="D67" s="13" t="s">
        <v>90</v>
      </c>
      <c r="E67" s="26">
        <v>16.5</v>
      </c>
      <c r="F67" s="26">
        <v>18.6</v>
      </c>
      <c r="G67" s="8" t="s">
        <v>97</v>
      </c>
      <c r="H67" s="27">
        <v>194</v>
      </c>
    </row>
    <row r="68" spans="1:8">
      <c r="A68" s="8">
        <v>45</v>
      </c>
      <c r="B68" s="24" t="s">
        <v>137</v>
      </c>
      <c r="C68" s="25" t="s">
        <v>138</v>
      </c>
      <c r="D68" s="13" t="s">
        <v>74</v>
      </c>
      <c r="E68" s="26">
        <v>23.6</v>
      </c>
      <c r="F68" s="26">
        <v>26.6</v>
      </c>
      <c r="G68" s="8" t="s">
        <v>91</v>
      </c>
      <c r="H68" s="27">
        <v>135</v>
      </c>
    </row>
    <row r="69" spans="1:8">
      <c r="A69" s="8"/>
      <c r="B69" s="22" t="s">
        <v>139</v>
      </c>
      <c r="C69" s="23" t="s">
        <v>139</v>
      </c>
      <c r="D69" s="23"/>
      <c r="E69" s="23"/>
      <c r="F69" s="23"/>
      <c r="G69" s="23"/>
      <c r="H69" s="23"/>
    </row>
    <row r="70" spans="1:8">
      <c r="A70" s="8">
        <v>46</v>
      </c>
      <c r="B70" s="24" t="s">
        <v>140</v>
      </c>
      <c r="C70" s="25" t="s">
        <v>140</v>
      </c>
      <c r="D70" s="13" t="s">
        <v>141</v>
      </c>
      <c r="E70" s="26">
        <v>8.8</v>
      </c>
      <c r="F70" s="26">
        <v>9.8</v>
      </c>
      <c r="G70" s="8" t="s">
        <v>97</v>
      </c>
      <c r="H70" s="27">
        <v>367</v>
      </c>
    </row>
    <row r="71" spans="1:8">
      <c r="A71" s="8">
        <v>47</v>
      </c>
      <c r="B71" s="24" t="s">
        <v>142</v>
      </c>
      <c r="C71" s="25" t="s">
        <v>142</v>
      </c>
      <c r="D71" s="13" t="s">
        <v>44</v>
      </c>
      <c r="E71" s="26">
        <v>16.7</v>
      </c>
      <c r="F71" s="26">
        <v>18.4</v>
      </c>
      <c r="G71" s="8" t="s">
        <v>87</v>
      </c>
      <c r="H71" s="27">
        <v>196</v>
      </c>
    </row>
    <row r="72" ht="24" spans="1:8">
      <c r="A72" s="8">
        <v>48</v>
      </c>
      <c r="B72" s="24" t="s">
        <v>143</v>
      </c>
      <c r="C72" s="25" t="s">
        <v>144</v>
      </c>
      <c r="D72" s="13" t="s">
        <v>90</v>
      </c>
      <c r="E72" s="26">
        <v>10.6</v>
      </c>
      <c r="F72" s="26">
        <v>11.9</v>
      </c>
      <c r="G72" s="8" t="s">
        <v>91</v>
      </c>
      <c r="H72" s="27">
        <v>303</v>
      </c>
    </row>
    <row r="73" ht="24" spans="1:8">
      <c r="A73" s="8">
        <v>49</v>
      </c>
      <c r="B73" s="24" t="s">
        <v>145</v>
      </c>
      <c r="C73" s="25" t="s">
        <v>146</v>
      </c>
      <c r="D73" s="13" t="s">
        <v>126</v>
      </c>
      <c r="E73" s="26">
        <v>16.7</v>
      </c>
      <c r="F73" s="26">
        <v>20.4</v>
      </c>
      <c r="G73" s="8" t="s">
        <v>91</v>
      </c>
      <c r="H73" s="27">
        <v>177</v>
      </c>
    </row>
    <row r="74" spans="1:8">
      <c r="A74" s="8">
        <v>50</v>
      </c>
      <c r="B74" s="24" t="s">
        <v>147</v>
      </c>
      <c r="C74" s="25" t="s">
        <v>148</v>
      </c>
      <c r="D74" s="13" t="s">
        <v>44</v>
      </c>
      <c r="E74" s="26">
        <v>12.7</v>
      </c>
      <c r="F74" s="26">
        <v>14</v>
      </c>
      <c r="G74" s="8" t="s">
        <v>87</v>
      </c>
      <c r="H74" s="27">
        <v>257</v>
      </c>
    </row>
    <row r="75" spans="1:8">
      <c r="A75" s="8">
        <v>51</v>
      </c>
      <c r="B75" s="24" t="s">
        <v>149</v>
      </c>
      <c r="C75" s="25" t="s">
        <v>150</v>
      </c>
      <c r="D75" s="13" t="s">
        <v>151</v>
      </c>
      <c r="E75" s="26">
        <v>12</v>
      </c>
      <c r="F75" s="26">
        <v>13.7</v>
      </c>
      <c r="G75" s="8" t="s">
        <v>97</v>
      </c>
      <c r="H75" s="27">
        <v>263</v>
      </c>
    </row>
    <row r="76" spans="1:8">
      <c r="A76" s="8">
        <v>52</v>
      </c>
      <c r="B76" s="24" t="s">
        <v>152</v>
      </c>
      <c r="C76" s="25" t="s">
        <v>152</v>
      </c>
      <c r="D76" s="13" t="s">
        <v>153</v>
      </c>
      <c r="E76" s="26">
        <v>9</v>
      </c>
      <c r="F76" s="26">
        <v>10</v>
      </c>
      <c r="G76" s="8" t="s">
        <v>97</v>
      </c>
      <c r="H76" s="27">
        <v>360</v>
      </c>
    </row>
    <row r="77" spans="1:8">
      <c r="A77" s="8">
        <v>53</v>
      </c>
      <c r="B77" s="24" t="s">
        <v>154</v>
      </c>
      <c r="C77" s="25" t="s">
        <v>154</v>
      </c>
      <c r="D77" s="13" t="s">
        <v>44</v>
      </c>
      <c r="E77" s="26">
        <v>10.7</v>
      </c>
      <c r="F77" s="26">
        <v>11.8</v>
      </c>
      <c r="G77" s="8" t="s">
        <v>87</v>
      </c>
      <c r="H77" s="27">
        <v>305</v>
      </c>
    </row>
    <row r="78" spans="1:8">
      <c r="A78" s="8">
        <v>55</v>
      </c>
      <c r="B78" s="24" t="s">
        <v>155</v>
      </c>
      <c r="C78" s="25" t="s">
        <v>155</v>
      </c>
      <c r="D78" s="13" t="s">
        <v>131</v>
      </c>
      <c r="E78" s="26">
        <v>13.4</v>
      </c>
      <c r="F78" s="26">
        <v>15</v>
      </c>
      <c r="G78" s="8" t="s">
        <v>91</v>
      </c>
      <c r="H78" s="27">
        <v>240</v>
      </c>
    </row>
    <row r="79" spans="1:8">
      <c r="A79" s="8">
        <v>56</v>
      </c>
      <c r="B79" s="24" t="s">
        <v>156</v>
      </c>
      <c r="C79" s="25" t="s">
        <v>157</v>
      </c>
      <c r="D79" s="13" t="s">
        <v>131</v>
      </c>
      <c r="E79" s="26">
        <v>27.9</v>
      </c>
      <c r="F79" s="26">
        <v>31.2</v>
      </c>
      <c r="G79" s="8" t="s">
        <v>97</v>
      </c>
      <c r="H79" s="27">
        <v>115</v>
      </c>
    </row>
    <row r="80" spans="1:8">
      <c r="A80" s="8">
        <v>57</v>
      </c>
      <c r="B80" s="24" t="s">
        <v>158</v>
      </c>
      <c r="C80" s="25" t="s">
        <v>159</v>
      </c>
      <c r="D80" s="13" t="s">
        <v>90</v>
      </c>
      <c r="E80" s="26">
        <v>23.4</v>
      </c>
      <c r="F80" s="26">
        <v>26.4</v>
      </c>
      <c r="G80" s="8" t="s">
        <v>97</v>
      </c>
      <c r="H80" s="27">
        <v>136</v>
      </c>
    </row>
    <row r="81" spans="1:8">
      <c r="A81" s="8">
        <v>58</v>
      </c>
      <c r="B81" s="24" t="s">
        <v>160</v>
      </c>
      <c r="C81" s="25" t="s">
        <v>161</v>
      </c>
      <c r="D81" s="13" t="s">
        <v>90</v>
      </c>
      <c r="E81" s="26">
        <v>15.9</v>
      </c>
      <c r="F81" s="26">
        <v>18.1</v>
      </c>
      <c r="G81" s="8" t="s">
        <v>97</v>
      </c>
      <c r="H81" s="27">
        <v>199</v>
      </c>
    </row>
    <row r="82" ht="24" spans="1:8">
      <c r="A82" s="8">
        <v>59</v>
      </c>
      <c r="B82" s="24" t="s">
        <v>162</v>
      </c>
      <c r="C82" s="25" t="s">
        <v>163</v>
      </c>
      <c r="D82" s="13" t="s">
        <v>90</v>
      </c>
      <c r="E82" s="26">
        <v>33.5</v>
      </c>
      <c r="F82" s="26">
        <v>37.9</v>
      </c>
      <c r="G82" s="8" t="s">
        <v>97</v>
      </c>
      <c r="H82" s="27">
        <v>95</v>
      </c>
    </row>
    <row r="83" ht="24" spans="1:8">
      <c r="A83" s="8">
        <v>60</v>
      </c>
      <c r="B83" s="24" t="s">
        <v>164</v>
      </c>
      <c r="C83" s="25" t="s">
        <v>165</v>
      </c>
      <c r="D83" s="13" t="s">
        <v>90</v>
      </c>
      <c r="E83" s="26">
        <v>51</v>
      </c>
      <c r="F83" s="26">
        <v>57.4</v>
      </c>
      <c r="G83" s="8" t="s">
        <v>97</v>
      </c>
      <c r="H83" s="27">
        <v>63</v>
      </c>
    </row>
    <row r="84" spans="1:8">
      <c r="A84" s="8">
        <v>61</v>
      </c>
      <c r="B84" s="24" t="s">
        <v>166</v>
      </c>
      <c r="C84" s="25" t="s">
        <v>167</v>
      </c>
      <c r="D84" s="13" t="s">
        <v>131</v>
      </c>
      <c r="E84" s="26">
        <v>15.7</v>
      </c>
      <c r="F84" s="26">
        <v>17.5</v>
      </c>
      <c r="G84" s="8" t="s">
        <v>97</v>
      </c>
      <c r="H84" s="27">
        <v>206</v>
      </c>
    </row>
    <row r="85" spans="1:8">
      <c r="A85" s="8">
        <v>62</v>
      </c>
      <c r="B85" s="24" t="s">
        <v>168</v>
      </c>
      <c r="C85" s="25" t="s">
        <v>169</v>
      </c>
      <c r="D85" s="13" t="s">
        <v>90</v>
      </c>
      <c r="E85" s="26">
        <v>9.5</v>
      </c>
      <c r="F85" s="26">
        <v>10.6</v>
      </c>
      <c r="G85" s="8" t="s">
        <v>97</v>
      </c>
      <c r="H85" s="27">
        <v>340</v>
      </c>
    </row>
    <row r="86" spans="1:8">
      <c r="A86" s="8">
        <v>63</v>
      </c>
      <c r="B86" s="24" t="s">
        <v>170</v>
      </c>
      <c r="C86" s="25" t="s">
        <v>171</v>
      </c>
      <c r="D86" s="13" t="s">
        <v>109</v>
      </c>
      <c r="E86" s="26">
        <v>12.4</v>
      </c>
      <c r="F86" s="26">
        <v>13.9</v>
      </c>
      <c r="G86" s="8" t="s">
        <v>97</v>
      </c>
      <c r="H86" s="27">
        <v>259</v>
      </c>
    </row>
    <row r="87" spans="1:8">
      <c r="A87" s="8">
        <v>64</v>
      </c>
      <c r="B87" s="24" t="s">
        <v>172</v>
      </c>
      <c r="C87" s="25" t="s">
        <v>172</v>
      </c>
      <c r="D87" s="13" t="s">
        <v>90</v>
      </c>
      <c r="E87" s="26">
        <v>14.8</v>
      </c>
      <c r="F87" s="26">
        <v>16.6</v>
      </c>
      <c r="G87" s="8" t="s">
        <v>97</v>
      </c>
      <c r="H87" s="27">
        <v>217</v>
      </c>
    </row>
    <row r="88" spans="1:8">
      <c r="A88" s="8"/>
      <c r="B88" s="22" t="s">
        <v>173</v>
      </c>
      <c r="C88" s="23" t="s">
        <v>173</v>
      </c>
      <c r="D88" s="23"/>
      <c r="E88" s="23"/>
      <c r="F88" s="23"/>
      <c r="G88" s="23"/>
      <c r="H88" s="23"/>
    </row>
    <row r="89" spans="1:8">
      <c r="A89" s="8">
        <v>65</v>
      </c>
      <c r="B89" s="24" t="s">
        <v>174</v>
      </c>
      <c r="C89" s="25" t="s">
        <v>174</v>
      </c>
      <c r="D89" s="13" t="s">
        <v>131</v>
      </c>
      <c r="E89" s="26">
        <v>24.2</v>
      </c>
      <c r="F89" s="26">
        <v>27</v>
      </c>
      <c r="G89" s="8" t="s">
        <v>97</v>
      </c>
      <c r="H89" s="27">
        <v>133</v>
      </c>
    </row>
    <row r="90" spans="1:8">
      <c r="A90" s="8">
        <v>66</v>
      </c>
      <c r="B90" s="24" t="s">
        <v>175</v>
      </c>
      <c r="C90" s="25" t="s">
        <v>176</v>
      </c>
      <c r="D90" s="13" t="s">
        <v>109</v>
      </c>
      <c r="E90" s="26">
        <v>17.2</v>
      </c>
      <c r="F90" s="26">
        <v>19.4</v>
      </c>
      <c r="G90" s="8" t="s">
        <v>97</v>
      </c>
      <c r="H90" s="27">
        <v>186</v>
      </c>
    </row>
    <row r="91" spans="1:8">
      <c r="A91" s="8">
        <v>67</v>
      </c>
      <c r="B91" s="24" t="s">
        <v>177</v>
      </c>
      <c r="C91" s="25" t="s">
        <v>178</v>
      </c>
      <c r="D91" s="13" t="s">
        <v>131</v>
      </c>
      <c r="E91" s="26">
        <v>14.6</v>
      </c>
      <c r="F91" s="26">
        <v>16.2</v>
      </c>
      <c r="G91" s="8" t="s">
        <v>97</v>
      </c>
      <c r="H91" s="27">
        <v>222</v>
      </c>
    </row>
    <row r="92" spans="1:8">
      <c r="A92" s="8">
        <v>68</v>
      </c>
      <c r="B92" s="24" t="s">
        <v>179</v>
      </c>
      <c r="C92" s="25" t="s">
        <v>180</v>
      </c>
      <c r="D92" s="13" t="s">
        <v>109</v>
      </c>
      <c r="E92" s="26">
        <v>14.3</v>
      </c>
      <c r="F92" s="26">
        <v>16</v>
      </c>
      <c r="G92" s="8" t="s">
        <v>97</v>
      </c>
      <c r="H92" s="27">
        <v>225</v>
      </c>
    </row>
    <row r="93" spans="1:8">
      <c r="A93" s="8"/>
      <c r="B93" s="22" t="s">
        <v>181</v>
      </c>
      <c r="C93" s="23" t="s">
        <v>181</v>
      </c>
      <c r="D93" s="23"/>
      <c r="E93" s="23"/>
      <c r="F93" s="23"/>
      <c r="G93" s="23"/>
      <c r="H93" s="23"/>
    </row>
    <row r="94" spans="1:8">
      <c r="A94" s="8">
        <v>27</v>
      </c>
      <c r="B94" s="24" t="s">
        <v>182</v>
      </c>
      <c r="C94" s="25" t="s">
        <v>183</v>
      </c>
      <c r="D94" s="13" t="s">
        <v>44</v>
      </c>
      <c r="E94" s="26">
        <v>31.6</v>
      </c>
      <c r="F94" s="26">
        <v>34.9</v>
      </c>
      <c r="G94" s="8" t="s">
        <v>184</v>
      </c>
      <c r="H94" s="27">
        <v>103</v>
      </c>
    </row>
    <row r="95" spans="1:8">
      <c r="A95" s="8">
        <v>69</v>
      </c>
      <c r="B95" s="24" t="s">
        <v>185</v>
      </c>
      <c r="C95" s="25" t="s">
        <v>186</v>
      </c>
      <c r="D95" s="13" t="s">
        <v>90</v>
      </c>
      <c r="E95" s="26">
        <v>21.7</v>
      </c>
      <c r="F95" s="26">
        <v>24.1</v>
      </c>
      <c r="G95" s="8" t="s">
        <v>97</v>
      </c>
      <c r="H95" s="27">
        <v>149</v>
      </c>
    </row>
    <row r="96" spans="1:8">
      <c r="A96" s="8">
        <v>70</v>
      </c>
      <c r="B96" s="24" t="s">
        <v>187</v>
      </c>
      <c r="C96" s="25" t="s">
        <v>187</v>
      </c>
      <c r="D96" s="13" t="s">
        <v>131</v>
      </c>
      <c r="E96" s="26">
        <v>50.8</v>
      </c>
      <c r="F96" s="26">
        <v>57.2</v>
      </c>
      <c r="G96" s="8" t="s">
        <v>97</v>
      </c>
      <c r="H96" s="27">
        <v>63</v>
      </c>
    </row>
    <row r="97" spans="1:8">
      <c r="A97" s="8">
        <v>71</v>
      </c>
      <c r="B97" s="24" t="s">
        <v>188</v>
      </c>
      <c r="C97" s="25" t="s">
        <v>189</v>
      </c>
      <c r="D97" s="13" t="s">
        <v>90</v>
      </c>
      <c r="E97" s="26">
        <v>11.6</v>
      </c>
      <c r="F97" s="26">
        <v>12.8</v>
      </c>
      <c r="G97" s="8" t="s">
        <v>91</v>
      </c>
      <c r="H97" s="27">
        <v>281</v>
      </c>
    </row>
    <row r="98" spans="1:8">
      <c r="A98" s="8">
        <v>72</v>
      </c>
      <c r="B98" s="24" t="s">
        <v>190</v>
      </c>
      <c r="C98" s="25" t="s">
        <v>190</v>
      </c>
      <c r="D98" s="13" t="s">
        <v>44</v>
      </c>
      <c r="E98" s="26">
        <v>36.7</v>
      </c>
      <c r="F98" s="26">
        <v>40.5</v>
      </c>
      <c r="G98" s="8" t="s">
        <v>87</v>
      </c>
      <c r="H98" s="27">
        <v>89</v>
      </c>
    </row>
    <row r="99" ht="24" spans="1:8">
      <c r="A99" s="8">
        <v>73</v>
      </c>
      <c r="B99" s="24" t="s">
        <v>191</v>
      </c>
      <c r="C99" s="25" t="s">
        <v>192</v>
      </c>
      <c r="D99" s="13" t="s">
        <v>129</v>
      </c>
      <c r="E99" s="26">
        <v>78.1</v>
      </c>
      <c r="F99" s="26">
        <v>88.8</v>
      </c>
      <c r="G99" s="8" t="s">
        <v>119</v>
      </c>
      <c r="H99" s="27">
        <v>41</v>
      </c>
    </row>
    <row r="100" spans="1:9">
      <c r="A100" s="8">
        <v>74</v>
      </c>
      <c r="B100" s="24" t="s">
        <v>193</v>
      </c>
      <c r="C100" s="25" t="s">
        <v>194</v>
      </c>
      <c r="D100" s="13" t="s">
        <v>90</v>
      </c>
      <c r="E100" s="26">
        <v>48.5</v>
      </c>
      <c r="F100" s="39">
        <f>54.3</f>
        <v>54.3</v>
      </c>
      <c r="G100" s="8" t="s">
        <v>97</v>
      </c>
      <c r="H100" s="27">
        <v>66</v>
      </c>
      <c r="I100" s="1" t="s">
        <v>195</v>
      </c>
    </row>
    <row r="101" spans="1:8">
      <c r="A101" s="28">
        <v>96</v>
      </c>
      <c r="B101" s="29" t="s">
        <v>196</v>
      </c>
      <c r="C101" s="29" t="s">
        <v>197</v>
      </c>
      <c r="D101" s="13"/>
      <c r="E101" s="26"/>
      <c r="F101" s="39">
        <v>24.7</v>
      </c>
      <c r="G101" s="8"/>
      <c r="H101" s="27"/>
    </row>
    <row r="102" spans="1:8">
      <c r="A102" s="28">
        <v>74</v>
      </c>
      <c r="B102" s="29" t="s">
        <v>198</v>
      </c>
      <c r="C102" s="29" t="s">
        <v>197</v>
      </c>
      <c r="D102" s="13"/>
      <c r="E102" s="26"/>
      <c r="F102" s="39">
        <f>F100-F101</f>
        <v>29.6</v>
      </c>
      <c r="G102" s="8"/>
      <c r="H102" s="27"/>
    </row>
    <row r="103" spans="1:8">
      <c r="A103" s="8">
        <v>75</v>
      </c>
      <c r="B103" s="24" t="s">
        <v>199</v>
      </c>
      <c r="C103" s="40" t="s">
        <v>200</v>
      </c>
      <c r="D103" s="13" t="s">
        <v>90</v>
      </c>
      <c r="E103" s="26">
        <v>49.5</v>
      </c>
      <c r="F103" s="26">
        <v>55.7</v>
      </c>
      <c r="G103" s="8" t="s">
        <v>119</v>
      </c>
      <c r="H103" s="27">
        <v>65</v>
      </c>
    </row>
    <row r="104" spans="1:8">
      <c r="A104" s="8">
        <v>76</v>
      </c>
      <c r="B104" s="24" t="s">
        <v>201</v>
      </c>
      <c r="C104" s="25" t="s">
        <v>202</v>
      </c>
      <c r="D104" s="13" t="s">
        <v>131</v>
      </c>
      <c r="E104" s="26">
        <v>20.8</v>
      </c>
      <c r="F104" s="26">
        <v>23.4</v>
      </c>
      <c r="G104" s="8" t="s">
        <v>97</v>
      </c>
      <c r="H104" s="27">
        <v>154</v>
      </c>
    </row>
    <row r="105" spans="1:8">
      <c r="A105" s="8">
        <v>77</v>
      </c>
      <c r="B105" s="24" t="s">
        <v>203</v>
      </c>
      <c r="C105" s="25" t="s">
        <v>203</v>
      </c>
      <c r="D105" s="13" t="s">
        <v>90</v>
      </c>
      <c r="E105" s="26">
        <v>24</v>
      </c>
      <c r="F105" s="26">
        <v>26.7</v>
      </c>
      <c r="G105" s="8" t="s">
        <v>97</v>
      </c>
      <c r="H105" s="27">
        <v>135</v>
      </c>
    </row>
    <row r="106" spans="1:8">
      <c r="A106" s="8">
        <v>78</v>
      </c>
      <c r="B106" s="24" t="s">
        <v>204</v>
      </c>
      <c r="C106" s="25" t="s">
        <v>204</v>
      </c>
      <c r="D106" s="13" t="s">
        <v>205</v>
      </c>
      <c r="E106" s="26">
        <v>24.4</v>
      </c>
      <c r="F106" s="26">
        <v>27.7</v>
      </c>
      <c r="G106" s="8" t="s">
        <v>119</v>
      </c>
      <c r="H106" s="27">
        <v>130</v>
      </c>
    </row>
    <row r="107" spans="1:8">
      <c r="A107" s="8">
        <v>79</v>
      </c>
      <c r="B107" s="24" t="s">
        <v>206</v>
      </c>
      <c r="C107" s="25" t="s">
        <v>207</v>
      </c>
      <c r="D107" s="13" t="s">
        <v>131</v>
      </c>
      <c r="E107" s="26">
        <v>30.2</v>
      </c>
      <c r="F107" s="26">
        <v>34</v>
      </c>
      <c r="G107" s="8" t="s">
        <v>97</v>
      </c>
      <c r="H107" s="27">
        <v>106</v>
      </c>
    </row>
    <row r="108" spans="1:8">
      <c r="A108" s="8">
        <v>80</v>
      </c>
      <c r="B108" s="24" t="s">
        <v>208</v>
      </c>
      <c r="C108" s="25" t="s">
        <v>208</v>
      </c>
      <c r="D108" s="13" t="s">
        <v>44</v>
      </c>
      <c r="E108" s="26">
        <v>7.2</v>
      </c>
      <c r="F108" s="26">
        <v>8</v>
      </c>
      <c r="G108" s="8" t="s">
        <v>87</v>
      </c>
      <c r="H108" s="27">
        <v>450</v>
      </c>
    </row>
    <row r="109" spans="1:8">
      <c r="A109" s="8">
        <v>81</v>
      </c>
      <c r="B109" s="24" t="s">
        <v>209</v>
      </c>
      <c r="C109" s="25" t="s">
        <v>209</v>
      </c>
      <c r="D109" s="13" t="s">
        <v>90</v>
      </c>
      <c r="E109" s="26">
        <v>11.9</v>
      </c>
      <c r="F109" s="26">
        <v>13.3</v>
      </c>
      <c r="G109" s="8" t="s">
        <v>97</v>
      </c>
      <c r="H109" s="27">
        <v>271</v>
      </c>
    </row>
    <row r="110" spans="1:8">
      <c r="A110" s="8">
        <v>82</v>
      </c>
      <c r="B110" s="24" t="s">
        <v>210</v>
      </c>
      <c r="C110" s="25" t="s">
        <v>211</v>
      </c>
      <c r="D110" s="13" t="s">
        <v>44</v>
      </c>
      <c r="E110" s="26">
        <v>7.1</v>
      </c>
      <c r="F110" s="26">
        <v>7.9</v>
      </c>
      <c r="G110" s="8" t="s">
        <v>87</v>
      </c>
      <c r="H110" s="27">
        <v>456</v>
      </c>
    </row>
    <row r="111" ht="24" spans="1:8">
      <c r="A111" s="8">
        <v>83</v>
      </c>
      <c r="B111" s="24" t="s">
        <v>212</v>
      </c>
      <c r="C111" s="25" t="s">
        <v>213</v>
      </c>
      <c r="D111" s="13" t="s">
        <v>90</v>
      </c>
      <c r="E111" s="26">
        <v>66.7</v>
      </c>
      <c r="F111" s="26">
        <v>75.2</v>
      </c>
      <c r="G111" s="8" t="s">
        <v>119</v>
      </c>
      <c r="H111" s="27">
        <v>48</v>
      </c>
    </row>
    <row r="112" spans="1:8">
      <c r="A112" s="8">
        <v>84</v>
      </c>
      <c r="B112" s="24" t="s">
        <v>214</v>
      </c>
      <c r="C112" s="25" t="s">
        <v>215</v>
      </c>
      <c r="D112" s="13" t="s">
        <v>90</v>
      </c>
      <c r="E112" s="26">
        <v>46.3</v>
      </c>
      <c r="F112" s="26">
        <v>51.8</v>
      </c>
      <c r="G112" s="8" t="s">
        <v>119</v>
      </c>
      <c r="H112" s="27">
        <v>69</v>
      </c>
    </row>
    <row r="113" spans="1:8">
      <c r="A113" s="8">
        <v>85</v>
      </c>
      <c r="B113" s="24" t="s">
        <v>216</v>
      </c>
      <c r="C113" s="25" t="s">
        <v>217</v>
      </c>
      <c r="D113" s="13" t="s">
        <v>90</v>
      </c>
      <c r="E113" s="26">
        <v>21.4</v>
      </c>
      <c r="F113" s="26">
        <v>23.9</v>
      </c>
      <c r="G113" s="8" t="s">
        <v>97</v>
      </c>
      <c r="H113" s="27">
        <v>151</v>
      </c>
    </row>
    <row r="114" spans="1:8">
      <c r="A114" s="8">
        <v>86</v>
      </c>
      <c r="B114" s="24" t="s">
        <v>218</v>
      </c>
      <c r="C114" s="25" t="s">
        <v>218</v>
      </c>
      <c r="D114" s="13" t="s">
        <v>131</v>
      </c>
      <c r="E114" s="26">
        <v>7.9</v>
      </c>
      <c r="F114" s="26">
        <v>8.8</v>
      </c>
      <c r="G114" s="8" t="s">
        <v>91</v>
      </c>
      <c r="H114" s="27">
        <v>409</v>
      </c>
    </row>
    <row r="115" spans="1:8">
      <c r="A115" s="8">
        <v>87</v>
      </c>
      <c r="B115" s="24" t="s">
        <v>219</v>
      </c>
      <c r="C115" s="25" t="s">
        <v>220</v>
      </c>
      <c r="D115" s="13" t="s">
        <v>90</v>
      </c>
      <c r="E115" s="26">
        <v>19.9</v>
      </c>
      <c r="F115" s="26">
        <v>22</v>
      </c>
      <c r="G115" s="8" t="s">
        <v>91</v>
      </c>
      <c r="H115" s="27">
        <v>164</v>
      </c>
    </row>
    <row r="116" spans="1:8">
      <c r="A116" s="8">
        <v>120</v>
      </c>
      <c r="B116" s="24" t="s">
        <v>221</v>
      </c>
      <c r="C116" s="25" t="s">
        <v>222</v>
      </c>
      <c r="D116" s="13" t="s">
        <v>44</v>
      </c>
      <c r="E116" s="26">
        <v>55.8</v>
      </c>
      <c r="F116" s="26">
        <v>61.6</v>
      </c>
      <c r="G116" s="8" t="s">
        <v>184</v>
      </c>
      <c r="H116" s="27">
        <v>58</v>
      </c>
    </row>
    <row r="117" spans="1:8">
      <c r="A117" s="8"/>
      <c r="B117" s="22" t="s">
        <v>223</v>
      </c>
      <c r="C117" s="23" t="s">
        <v>223</v>
      </c>
      <c r="D117" s="23"/>
      <c r="E117" s="23"/>
      <c r="F117" s="23"/>
      <c r="G117" s="23"/>
      <c r="H117" s="23"/>
    </row>
    <row r="118" customHeight="1" spans="1:8">
      <c r="A118" s="41">
        <v>35</v>
      </c>
      <c r="B118" s="42" t="s">
        <v>224</v>
      </c>
      <c r="C118" s="24" t="s">
        <v>225</v>
      </c>
      <c r="D118" s="36" t="s">
        <v>153</v>
      </c>
      <c r="E118" s="37">
        <v>27.5</v>
      </c>
      <c r="F118" s="37">
        <v>30.4</v>
      </c>
      <c r="G118" s="34" t="s">
        <v>226</v>
      </c>
      <c r="H118" s="38">
        <v>118</v>
      </c>
    </row>
    <row r="119" spans="1:8">
      <c r="A119" s="43"/>
      <c r="B119" s="44"/>
      <c r="C119" s="25" t="s">
        <v>227</v>
      </c>
      <c r="D119" s="13" t="s">
        <v>153</v>
      </c>
      <c r="E119" s="26">
        <v>9.9</v>
      </c>
      <c r="F119" s="26">
        <v>10.9</v>
      </c>
      <c r="G119" s="8" t="s">
        <v>226</v>
      </c>
      <c r="H119" s="27">
        <v>330</v>
      </c>
    </row>
    <row r="120" spans="1:8">
      <c r="A120" s="45"/>
      <c r="B120" s="46"/>
      <c r="C120" s="25" t="s">
        <v>228</v>
      </c>
      <c r="D120" s="13" t="s">
        <v>153</v>
      </c>
      <c r="E120" s="26">
        <v>19.2</v>
      </c>
      <c r="F120" s="26">
        <v>21.9</v>
      </c>
      <c r="G120" s="8" t="s">
        <v>226</v>
      </c>
      <c r="H120" s="27">
        <v>164</v>
      </c>
    </row>
    <row r="121" spans="1:8">
      <c r="A121" s="8">
        <v>92</v>
      </c>
      <c r="B121" s="24" t="s">
        <v>229</v>
      </c>
      <c r="C121" s="25" t="s">
        <v>229</v>
      </c>
      <c r="D121" s="13" t="s">
        <v>44</v>
      </c>
      <c r="E121" s="26">
        <v>23</v>
      </c>
      <c r="F121" s="26">
        <v>25.4</v>
      </c>
      <c r="G121" s="8" t="s">
        <v>33</v>
      </c>
      <c r="H121" s="27">
        <v>142</v>
      </c>
    </row>
    <row r="122" spans="1:8">
      <c r="A122" s="8">
        <v>94</v>
      </c>
      <c r="B122" s="24" t="s">
        <v>230</v>
      </c>
      <c r="C122" s="25" t="s">
        <v>230</v>
      </c>
      <c r="D122" s="13" t="s">
        <v>123</v>
      </c>
      <c r="E122" s="26">
        <v>19.1</v>
      </c>
      <c r="F122" s="26">
        <v>21.2</v>
      </c>
      <c r="G122" s="8" t="s">
        <v>226</v>
      </c>
      <c r="H122" s="27">
        <v>170</v>
      </c>
    </row>
    <row r="123" s="1" customFormat="1" spans="1:8">
      <c r="A123" s="8"/>
      <c r="B123" s="22" t="s">
        <v>231</v>
      </c>
      <c r="C123" s="23" t="s">
        <v>231</v>
      </c>
      <c r="D123" s="23"/>
      <c r="E123" s="23"/>
      <c r="F123" s="23"/>
      <c r="G123" s="23"/>
      <c r="H123" s="23"/>
    </row>
    <row r="124" spans="1:8">
      <c r="A124" s="8">
        <v>126</v>
      </c>
      <c r="B124" s="36" t="s">
        <v>232</v>
      </c>
      <c r="C124" s="23"/>
      <c r="D124" s="23"/>
      <c r="E124" s="23"/>
      <c r="F124" s="23"/>
      <c r="G124" s="23"/>
      <c r="H124" s="23"/>
    </row>
    <row r="125" s="1" customFormat="1" spans="1:8">
      <c r="A125" s="8">
        <v>103</v>
      </c>
      <c r="B125" s="24" t="s">
        <v>233</v>
      </c>
      <c r="C125" s="13" t="s">
        <v>234</v>
      </c>
      <c r="D125" s="13" t="s">
        <v>235</v>
      </c>
      <c r="E125" s="13">
        <v>83</v>
      </c>
      <c r="F125" s="13">
        <v>93.3</v>
      </c>
      <c r="G125" s="13" t="s">
        <v>41</v>
      </c>
      <c r="H125" s="13">
        <v>39</v>
      </c>
    </row>
    <row r="126" spans="1:8">
      <c r="A126" s="8">
        <v>105</v>
      </c>
      <c r="B126" s="24" t="s">
        <v>236</v>
      </c>
      <c r="C126" s="25" t="s">
        <v>237</v>
      </c>
      <c r="D126" s="13" t="s">
        <v>236</v>
      </c>
      <c r="E126" s="26">
        <v>68.4</v>
      </c>
      <c r="F126" s="26">
        <v>75.6</v>
      </c>
      <c r="G126" s="8" t="s">
        <v>226</v>
      </c>
      <c r="H126" s="27">
        <v>48</v>
      </c>
    </row>
    <row r="127" spans="1:8">
      <c r="A127" s="8"/>
      <c r="B127" s="24" t="s">
        <v>238</v>
      </c>
      <c r="C127" s="25" t="s">
        <v>238</v>
      </c>
      <c r="D127" s="13" t="s">
        <v>44</v>
      </c>
      <c r="E127" s="26">
        <v>5.8</v>
      </c>
      <c r="F127" s="26">
        <v>6.4</v>
      </c>
      <c r="G127" s="8" t="s">
        <v>33</v>
      </c>
      <c r="H127" s="27">
        <v>563</v>
      </c>
    </row>
    <row r="128" spans="1:8">
      <c r="A128" s="8"/>
      <c r="B128" s="24" t="s">
        <v>239</v>
      </c>
      <c r="C128" s="25" t="s">
        <v>239</v>
      </c>
      <c r="D128" s="13" t="s">
        <v>44</v>
      </c>
      <c r="E128" s="26">
        <v>2.9</v>
      </c>
      <c r="F128" s="26">
        <v>3.2</v>
      </c>
      <c r="G128" s="8" t="s">
        <v>33</v>
      </c>
      <c r="H128" s="27">
        <v>1125</v>
      </c>
    </row>
    <row r="129" spans="1:8">
      <c r="A129" s="8">
        <v>172</v>
      </c>
      <c r="B129" s="24" t="s">
        <v>240</v>
      </c>
      <c r="C129" s="25" t="s">
        <v>240</v>
      </c>
      <c r="D129" s="13" t="s">
        <v>44</v>
      </c>
      <c r="E129" s="26">
        <v>3.7</v>
      </c>
      <c r="F129" s="26">
        <v>4.1</v>
      </c>
      <c r="G129" s="8" t="s">
        <v>33</v>
      </c>
      <c r="H129" s="27">
        <v>878</v>
      </c>
    </row>
    <row r="130" spans="1:8">
      <c r="A130" s="8">
        <v>171</v>
      </c>
      <c r="B130" s="24" t="s">
        <v>241</v>
      </c>
      <c r="C130" s="25" t="s">
        <v>241</v>
      </c>
      <c r="D130" s="13" t="s">
        <v>44</v>
      </c>
      <c r="E130" s="26">
        <v>7.2</v>
      </c>
      <c r="F130" s="26">
        <v>8</v>
      </c>
      <c r="G130" s="8" t="s">
        <v>33</v>
      </c>
      <c r="H130" s="27">
        <v>450</v>
      </c>
    </row>
    <row r="131" spans="1:8">
      <c r="A131" s="8">
        <v>140</v>
      </c>
      <c r="B131" s="24" t="s">
        <v>242</v>
      </c>
      <c r="C131" s="25" t="s">
        <v>242</v>
      </c>
      <c r="D131" s="13" t="s">
        <v>44</v>
      </c>
      <c r="E131" s="26">
        <v>2.9</v>
      </c>
      <c r="F131" s="26">
        <v>3.2</v>
      </c>
      <c r="G131" s="8" t="s">
        <v>33</v>
      </c>
      <c r="H131" s="27">
        <v>1125</v>
      </c>
    </row>
    <row r="132" spans="1:8">
      <c r="A132" s="8">
        <v>107</v>
      </c>
      <c r="B132" s="24" t="s">
        <v>243</v>
      </c>
      <c r="C132" s="25" t="s">
        <v>244</v>
      </c>
      <c r="D132" s="13" t="s">
        <v>44</v>
      </c>
      <c r="E132" s="26">
        <v>7.1</v>
      </c>
      <c r="F132" s="26">
        <v>7.9</v>
      </c>
      <c r="G132" s="8" t="s">
        <v>33</v>
      </c>
      <c r="H132" s="27">
        <v>456</v>
      </c>
    </row>
    <row r="133" spans="1:8">
      <c r="A133" s="8">
        <v>154</v>
      </c>
      <c r="B133" s="24" t="s">
        <v>245</v>
      </c>
      <c r="C133" s="25" t="s">
        <v>246</v>
      </c>
      <c r="D133" s="13" t="s">
        <v>44</v>
      </c>
      <c r="E133" s="26">
        <v>30.1</v>
      </c>
      <c r="F133" s="26">
        <v>33.2</v>
      </c>
      <c r="G133" s="8" t="s">
        <v>33</v>
      </c>
      <c r="H133" s="27">
        <v>108</v>
      </c>
    </row>
    <row r="134" spans="1:8">
      <c r="A134" s="8">
        <v>122</v>
      </c>
      <c r="B134" s="24" t="s">
        <v>247</v>
      </c>
      <c r="C134" s="25" t="s">
        <v>247</v>
      </c>
      <c r="D134" s="13" t="s">
        <v>44</v>
      </c>
      <c r="E134" s="26">
        <v>12.9</v>
      </c>
      <c r="F134" s="26">
        <v>14.2</v>
      </c>
      <c r="G134" s="8" t="s">
        <v>33</v>
      </c>
      <c r="H134" s="27">
        <v>254</v>
      </c>
    </row>
    <row r="135" spans="1:8">
      <c r="A135" s="8">
        <v>123</v>
      </c>
      <c r="B135" s="24" t="s">
        <v>248</v>
      </c>
      <c r="C135" s="25" t="s">
        <v>248</v>
      </c>
      <c r="D135" s="13" t="s">
        <v>44</v>
      </c>
      <c r="E135" s="26">
        <v>10.9</v>
      </c>
      <c r="F135" s="26">
        <v>12.1</v>
      </c>
      <c r="G135" s="8" t="s">
        <v>33</v>
      </c>
      <c r="H135" s="27">
        <v>298</v>
      </c>
    </row>
    <row r="136" spans="1:8">
      <c r="A136" s="8">
        <v>40</v>
      </c>
      <c r="B136" s="24" t="s">
        <v>249</v>
      </c>
      <c r="C136" s="25" t="s">
        <v>249</v>
      </c>
      <c r="D136" s="13" t="s">
        <v>44</v>
      </c>
      <c r="E136" s="26">
        <v>10.1</v>
      </c>
      <c r="F136" s="26">
        <v>11.1</v>
      </c>
      <c r="G136" s="8" t="s">
        <v>33</v>
      </c>
      <c r="H136" s="27">
        <v>324</v>
      </c>
    </row>
    <row r="137" spans="1:8">
      <c r="A137" s="8"/>
      <c r="B137" s="24" t="s">
        <v>250</v>
      </c>
      <c r="C137" s="25" t="s">
        <v>250</v>
      </c>
      <c r="D137" s="13" t="s">
        <v>44</v>
      </c>
      <c r="E137" s="26">
        <v>3.7</v>
      </c>
      <c r="F137" s="26">
        <v>4.1</v>
      </c>
      <c r="G137" s="8" t="s">
        <v>33</v>
      </c>
      <c r="H137" s="27">
        <v>878</v>
      </c>
    </row>
    <row r="138" spans="1:8">
      <c r="A138" s="8">
        <v>102</v>
      </c>
      <c r="B138" s="24" t="s">
        <v>251</v>
      </c>
      <c r="C138" s="25" t="s">
        <v>251</v>
      </c>
      <c r="D138" s="13" t="s">
        <v>44</v>
      </c>
      <c r="E138" s="26">
        <v>3.8</v>
      </c>
      <c r="F138" s="26">
        <v>4.2</v>
      </c>
      <c r="G138" s="8" t="s">
        <v>33</v>
      </c>
      <c r="H138" s="27">
        <v>857</v>
      </c>
    </row>
    <row r="139" spans="1:8">
      <c r="A139" s="8">
        <v>152</v>
      </c>
      <c r="B139" s="24" t="s">
        <v>252</v>
      </c>
      <c r="C139" s="25" t="s">
        <v>252</v>
      </c>
      <c r="D139" s="13" t="s">
        <v>44</v>
      </c>
      <c r="E139" s="26">
        <v>1.4</v>
      </c>
      <c r="F139" s="26">
        <v>1.6</v>
      </c>
      <c r="G139" s="8" t="s">
        <v>33</v>
      </c>
      <c r="H139" s="27">
        <v>2250</v>
      </c>
    </row>
    <row r="140" spans="1:8">
      <c r="A140" s="8">
        <v>169</v>
      </c>
      <c r="B140" s="24" t="s">
        <v>253</v>
      </c>
      <c r="C140" s="25" t="s">
        <v>253</v>
      </c>
      <c r="D140" s="13" t="s">
        <v>44</v>
      </c>
      <c r="E140" s="26">
        <v>1</v>
      </c>
      <c r="F140" s="26">
        <v>1.1</v>
      </c>
      <c r="G140" s="8" t="s">
        <v>33</v>
      </c>
      <c r="H140" s="27">
        <v>3273</v>
      </c>
    </row>
    <row r="141" ht="24" spans="1:8">
      <c r="A141" s="8">
        <v>131</v>
      </c>
      <c r="B141" s="24" t="s">
        <v>254</v>
      </c>
      <c r="C141" s="25" t="s">
        <v>255</v>
      </c>
      <c r="D141" s="13" t="s">
        <v>44</v>
      </c>
      <c r="E141" s="26">
        <v>13.4</v>
      </c>
      <c r="F141" s="26">
        <v>14.8</v>
      </c>
      <c r="G141" s="8" t="s">
        <v>33</v>
      </c>
      <c r="H141" s="27">
        <v>243</v>
      </c>
    </row>
    <row r="142" ht="13" customHeight="1" spans="1:8">
      <c r="A142" s="8">
        <v>124</v>
      </c>
      <c r="B142" s="24" t="s">
        <v>256</v>
      </c>
      <c r="C142" s="25" t="s">
        <v>257</v>
      </c>
      <c r="D142" s="13" t="s">
        <v>44</v>
      </c>
      <c r="E142" s="26">
        <v>11.4</v>
      </c>
      <c r="F142" s="26">
        <v>12.6</v>
      </c>
      <c r="G142" s="8" t="s">
        <v>33</v>
      </c>
      <c r="H142" s="27">
        <v>285</v>
      </c>
    </row>
    <row r="143" ht="13" customHeight="1" spans="1:8">
      <c r="A143" s="8">
        <v>121</v>
      </c>
      <c r="B143" s="24" t="s">
        <v>258</v>
      </c>
      <c r="C143" s="25" t="s">
        <v>259</v>
      </c>
      <c r="D143" s="13" t="s">
        <v>44</v>
      </c>
      <c r="E143" s="26">
        <v>12.3</v>
      </c>
      <c r="F143" s="26">
        <v>13.6</v>
      </c>
      <c r="G143" s="8" t="s">
        <v>33</v>
      </c>
      <c r="H143" s="27">
        <v>265</v>
      </c>
    </row>
    <row r="144" ht="24" spans="1:8">
      <c r="A144" s="8">
        <v>132</v>
      </c>
      <c r="B144" s="24" t="s">
        <v>260</v>
      </c>
      <c r="C144" s="25" t="s">
        <v>261</v>
      </c>
      <c r="D144" s="13" t="s">
        <v>44</v>
      </c>
      <c r="E144" s="26">
        <v>9.1</v>
      </c>
      <c r="F144" s="26">
        <v>10</v>
      </c>
      <c r="G144" s="8" t="s">
        <v>33</v>
      </c>
      <c r="H144" s="27">
        <v>360</v>
      </c>
    </row>
    <row r="145" spans="1:8">
      <c r="A145" s="8">
        <v>160</v>
      </c>
      <c r="B145" s="24" t="s">
        <v>262</v>
      </c>
      <c r="C145" s="13" t="s">
        <v>262</v>
      </c>
      <c r="D145" s="13" t="s">
        <v>44</v>
      </c>
      <c r="E145" s="13">
        <v>28.8</v>
      </c>
      <c r="F145" s="13">
        <v>31.8</v>
      </c>
      <c r="G145" s="13" t="s">
        <v>33</v>
      </c>
      <c r="H145" s="13">
        <v>113</v>
      </c>
    </row>
    <row r="146" spans="1:8">
      <c r="A146" s="8">
        <v>173</v>
      </c>
      <c r="B146" s="24" t="s">
        <v>263</v>
      </c>
      <c r="C146" s="13"/>
      <c r="D146" s="13"/>
      <c r="E146" s="13"/>
      <c r="F146" s="13"/>
      <c r="G146" s="13"/>
      <c r="H146" s="13"/>
    </row>
    <row r="147" spans="1:8">
      <c r="A147" s="8">
        <v>174</v>
      </c>
      <c r="B147" s="36" t="s">
        <v>264</v>
      </c>
      <c r="C147" s="13"/>
      <c r="D147" s="13"/>
      <c r="E147" s="13"/>
      <c r="F147" s="13"/>
      <c r="G147" s="13"/>
      <c r="H147" s="13"/>
    </row>
    <row r="149" spans="1:2">
      <c r="A149" s="47" t="s">
        <v>265</v>
      </c>
      <c r="B149" s="48"/>
    </row>
  </sheetData>
  <mergeCells count="22">
    <mergeCell ref="A1:H1"/>
    <mergeCell ref="A2:H2"/>
    <mergeCell ref="A3:H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118:A120"/>
    <mergeCell ref="B118:B120"/>
    <mergeCell ref="F4:H19"/>
  </mergeCells>
  <conditionalFormatting sqref="A1:A118 A121:A1048576">
    <cfRule type="duplicateValues" dxfId="0" priority="1"/>
  </conditionalFormatting>
  <printOptions horizontalCentered="1"/>
  <pageMargins left="0.0784722222222222" right="0.0784722222222222" top="0.0388888888888889" bottom="0.0388888888888889" header="0.0388888888888889" footer="0.0388888888888889"/>
  <pageSetup paperSize="9" scale="81" orientation="portrait" horizontalDpi="600"/>
  <headerFooter>
    <oddFooter>&amp;R&amp;D &amp;T</oddFooter>
  </headerFooter>
  <colBreaks count="1" manualBreakCount="1">
    <brk id="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49"/>
  <sheetViews>
    <sheetView tabSelected="1" view="pageBreakPreview" zoomScale="130" zoomScaleNormal="100" workbookViewId="0">
      <selection activeCell="B29" sqref="B29"/>
    </sheetView>
  </sheetViews>
  <sheetFormatPr defaultColWidth="9" defaultRowHeight="12"/>
  <cols>
    <col min="1" max="1" width="9" style="2"/>
    <col min="2" max="2" width="35.625" style="3" customWidth="1"/>
    <col min="3" max="3" width="35.625" style="1" customWidth="1"/>
    <col min="4" max="94" width="9" style="1"/>
    <col min="95" max="95" width="60.7666666666667" style="1" customWidth="1"/>
    <col min="96" max="16384" width="9" style="1"/>
  </cols>
  <sheetData>
    <row r="1" ht="25.5" spans="1:8">
      <c r="A1" s="4" t="s">
        <v>0</v>
      </c>
      <c r="B1" s="5"/>
      <c r="C1" s="4"/>
      <c r="D1" s="4"/>
      <c r="E1" s="4"/>
      <c r="F1" s="4"/>
      <c r="G1" s="4"/>
      <c r="H1" s="4"/>
    </row>
    <row r="2" ht="20.25" spans="1:8">
      <c r="A2" s="6" t="s">
        <v>1</v>
      </c>
      <c r="B2" s="7"/>
      <c r="C2" s="6"/>
      <c r="D2" s="6"/>
      <c r="E2" s="6"/>
      <c r="F2" s="6"/>
      <c r="G2" s="6"/>
      <c r="H2" s="6"/>
    </row>
    <row r="3" spans="1:8">
      <c r="A3" s="8" t="s">
        <v>2</v>
      </c>
      <c r="B3" s="9"/>
      <c r="C3" s="10"/>
      <c r="D3" s="10"/>
      <c r="E3" s="10"/>
      <c r="F3" s="10"/>
      <c r="G3" s="10"/>
      <c r="H3" s="10"/>
    </row>
    <row r="4" spans="1:8">
      <c r="A4" s="11" t="s">
        <v>3</v>
      </c>
      <c r="B4" s="12" t="s">
        <v>4</v>
      </c>
      <c r="C4" s="10"/>
      <c r="D4" s="10"/>
      <c r="E4" s="10"/>
      <c r="F4" s="13"/>
      <c r="G4" s="13"/>
      <c r="H4" s="13"/>
    </row>
    <row r="5" spans="1:8">
      <c r="A5" s="11" t="s">
        <v>5</v>
      </c>
      <c r="B5" s="12" t="s">
        <v>6</v>
      </c>
      <c r="C5" s="10"/>
      <c r="D5" s="10"/>
      <c r="E5" s="10"/>
      <c r="F5" s="13"/>
      <c r="G5" s="13"/>
      <c r="H5" s="13"/>
    </row>
    <row r="6" spans="1:8">
      <c r="A6" s="11" t="s">
        <v>7</v>
      </c>
      <c r="B6" s="14" t="s">
        <v>8</v>
      </c>
      <c r="C6" s="15"/>
      <c r="D6" s="15"/>
      <c r="E6" s="15"/>
      <c r="F6" s="13"/>
      <c r="G6" s="13"/>
      <c r="H6" s="13"/>
    </row>
    <row r="7" customHeight="1" spans="1:95">
      <c r="A7" s="11" t="s">
        <v>9</v>
      </c>
      <c r="B7" s="16" t="s">
        <v>10</v>
      </c>
      <c r="C7" s="17"/>
      <c r="D7" s="17"/>
      <c r="E7" s="17"/>
      <c r="F7" s="13"/>
      <c r="G7" s="13"/>
      <c r="H7" s="13"/>
      <c r="CQ7" s="33"/>
    </row>
    <row r="8" customHeight="1" spans="1:95">
      <c r="A8" s="11" t="s">
        <v>11</v>
      </c>
      <c r="B8" s="16"/>
      <c r="C8" s="17"/>
      <c r="D8" s="17"/>
      <c r="E8" s="17"/>
      <c r="F8" s="13"/>
      <c r="G8" s="13"/>
      <c r="H8" s="13"/>
      <c r="CQ8" s="33"/>
    </row>
    <row r="9" spans="1:8">
      <c r="A9" s="11" t="s">
        <v>12</v>
      </c>
      <c r="B9" s="12">
        <v>19134</v>
      </c>
      <c r="C9" s="10"/>
      <c r="D9" s="10"/>
      <c r="E9" s="10"/>
      <c r="F9" s="13"/>
      <c r="G9" s="13"/>
      <c r="H9" s="13"/>
    </row>
    <row r="10" spans="1:8">
      <c r="A10" s="11" t="s">
        <v>13</v>
      </c>
      <c r="B10" s="12">
        <f>SUM(F46:F115)-F94</f>
        <v>1533.4</v>
      </c>
      <c r="C10" s="10"/>
      <c r="D10" s="10"/>
      <c r="E10" s="10"/>
      <c r="F10" s="13"/>
      <c r="G10" s="13"/>
      <c r="H10" s="13"/>
    </row>
    <row r="11" spans="1:8">
      <c r="A11" s="11" t="s">
        <v>14</v>
      </c>
      <c r="B11" s="18">
        <f>37800/B10</f>
        <v>24.6511021259945</v>
      </c>
      <c r="C11" s="10"/>
      <c r="D11" s="10"/>
      <c r="E11" s="10"/>
      <c r="F11" s="13"/>
      <c r="G11" s="13"/>
      <c r="H11" s="13"/>
    </row>
    <row r="12" hidden="1" spans="1:8">
      <c r="A12" s="11" t="s">
        <v>15</v>
      </c>
      <c r="B12" s="12"/>
      <c r="C12" s="19"/>
      <c r="D12" s="19"/>
      <c r="E12" s="19"/>
      <c r="F12" s="13"/>
      <c r="G12" s="13"/>
      <c r="H12" s="13"/>
    </row>
    <row r="13" hidden="1" spans="1:8">
      <c r="A13" s="11" t="s">
        <v>16</v>
      </c>
      <c r="B13" s="12"/>
      <c r="C13" s="10"/>
      <c r="D13" s="10"/>
      <c r="E13" s="10"/>
      <c r="F13" s="13"/>
      <c r="G13" s="13"/>
      <c r="H13" s="13"/>
    </row>
    <row r="14" hidden="1" spans="1:8">
      <c r="A14" s="11" t="s">
        <v>17</v>
      </c>
      <c r="B14" s="12"/>
      <c r="C14" s="10"/>
      <c r="D14" s="10"/>
      <c r="E14" s="10"/>
      <c r="F14" s="13"/>
      <c r="G14" s="13"/>
      <c r="H14" s="13"/>
    </row>
    <row r="15" hidden="1" spans="1:8">
      <c r="A15" s="11" t="s">
        <v>18</v>
      </c>
      <c r="B15" s="12"/>
      <c r="C15" s="10"/>
      <c r="D15" s="10"/>
      <c r="E15" s="10"/>
      <c r="F15" s="13"/>
      <c r="G15" s="13"/>
      <c r="H15" s="13"/>
    </row>
    <row r="16" hidden="1" spans="1:8">
      <c r="A16" s="11" t="s">
        <v>19</v>
      </c>
      <c r="B16" s="12"/>
      <c r="C16" s="10"/>
      <c r="D16" s="10"/>
      <c r="E16" s="10"/>
      <c r="F16" s="13"/>
      <c r="G16" s="13"/>
      <c r="H16" s="13"/>
    </row>
    <row r="17" hidden="1" spans="1:8">
      <c r="A17" s="11" t="s">
        <v>20</v>
      </c>
      <c r="B17" s="12"/>
      <c r="C17" s="10"/>
      <c r="D17" s="10"/>
      <c r="E17" s="10"/>
      <c r="F17" s="13"/>
      <c r="G17" s="13"/>
      <c r="H17" s="13"/>
    </row>
    <row r="18" hidden="1" customHeight="1" spans="1:95">
      <c r="A18" s="11" t="s">
        <v>21</v>
      </c>
      <c r="B18" s="16"/>
      <c r="C18" s="17"/>
      <c r="D18" s="17"/>
      <c r="E18" s="17"/>
      <c r="F18" s="13"/>
      <c r="G18" s="13"/>
      <c r="H18" s="13"/>
      <c r="CQ18" s="33"/>
    </row>
    <row r="19" hidden="1" spans="1:8">
      <c r="A19" s="11"/>
      <c r="B19" s="12"/>
      <c r="C19" s="10"/>
      <c r="D19" s="10"/>
      <c r="E19" s="10"/>
      <c r="F19" s="13"/>
      <c r="G19" s="13"/>
      <c r="H19" s="13"/>
    </row>
    <row r="20" spans="1:8">
      <c r="A20" s="20" t="s">
        <v>22</v>
      </c>
      <c r="B20" s="21" t="s">
        <v>23</v>
      </c>
      <c r="C20" s="20" t="s">
        <v>23</v>
      </c>
      <c r="D20" s="20" t="s">
        <v>24</v>
      </c>
      <c r="E20" s="20" t="s">
        <v>25</v>
      </c>
      <c r="F20" s="20" t="s">
        <v>26</v>
      </c>
      <c r="G20" s="20" t="s">
        <v>27</v>
      </c>
      <c r="H20" s="20" t="s">
        <v>28</v>
      </c>
    </row>
    <row r="21" spans="1:8">
      <c r="A21" s="8"/>
      <c r="B21" s="22" t="s">
        <v>29</v>
      </c>
      <c r="C21" s="23" t="s">
        <v>29</v>
      </c>
      <c r="D21" s="23"/>
      <c r="E21" s="23"/>
      <c r="F21" s="23"/>
      <c r="G21" s="23"/>
      <c r="H21" s="23"/>
    </row>
    <row r="22" spans="1:8">
      <c r="A22" s="8">
        <v>1</v>
      </c>
      <c r="B22" s="24" t="s">
        <v>30</v>
      </c>
      <c r="C22" s="25" t="s">
        <v>31</v>
      </c>
      <c r="D22" s="13" t="s">
        <v>32</v>
      </c>
      <c r="E22" s="26">
        <v>6.5</v>
      </c>
      <c r="F22" s="26">
        <v>7.3</v>
      </c>
      <c r="G22" s="8" t="s">
        <v>33</v>
      </c>
      <c r="H22" s="27">
        <v>493</v>
      </c>
    </row>
    <row r="23" spans="1:8">
      <c r="A23" s="8">
        <v>155</v>
      </c>
      <c r="B23" s="24" t="s">
        <v>34</v>
      </c>
      <c r="C23" s="25" t="s">
        <v>35</v>
      </c>
      <c r="D23" s="13" t="s">
        <v>36</v>
      </c>
      <c r="E23" s="26">
        <v>16.8</v>
      </c>
      <c r="F23" s="26">
        <v>18.9</v>
      </c>
      <c r="G23" s="8" t="s">
        <v>37</v>
      </c>
      <c r="H23" s="27">
        <v>190</v>
      </c>
    </row>
    <row r="24" spans="1:8">
      <c r="A24" s="8">
        <v>2</v>
      </c>
      <c r="B24" s="24" t="s">
        <v>38</v>
      </c>
      <c r="C24" s="25" t="s">
        <v>39</v>
      </c>
      <c r="D24" s="13" t="s">
        <v>40</v>
      </c>
      <c r="E24" s="26">
        <v>10.9</v>
      </c>
      <c r="F24" s="26">
        <v>12</v>
      </c>
      <c r="G24" s="8" t="s">
        <v>41</v>
      </c>
      <c r="H24" s="27">
        <v>300</v>
      </c>
    </row>
    <row r="25" spans="1:8">
      <c r="A25" s="8">
        <v>5</v>
      </c>
      <c r="B25" s="24" t="s">
        <v>42</v>
      </c>
      <c r="C25" s="25" t="s">
        <v>43</v>
      </c>
      <c r="D25" s="13" t="s">
        <v>44</v>
      </c>
      <c r="E25" s="26">
        <v>17.3</v>
      </c>
      <c r="F25" s="26">
        <v>19.1</v>
      </c>
      <c r="G25" s="8" t="s">
        <v>33</v>
      </c>
      <c r="H25" s="27">
        <v>188</v>
      </c>
    </row>
    <row r="26" spans="1:8">
      <c r="A26" s="8"/>
      <c r="B26" s="24" t="s">
        <v>45</v>
      </c>
      <c r="C26" s="25" t="s">
        <v>46</v>
      </c>
      <c r="D26" s="13" t="s">
        <v>44</v>
      </c>
      <c r="E26" s="26">
        <v>21.5</v>
      </c>
      <c r="F26" s="26">
        <v>23.8</v>
      </c>
      <c r="G26" s="8" t="s">
        <v>33</v>
      </c>
      <c r="H26" s="27">
        <v>151</v>
      </c>
    </row>
    <row r="27" ht="14" customHeight="1" spans="1:8">
      <c r="A27" s="8">
        <v>170</v>
      </c>
      <c r="B27" s="24" t="s">
        <v>47</v>
      </c>
      <c r="C27" s="25" t="s">
        <v>48</v>
      </c>
      <c r="D27" s="13" t="s">
        <v>44</v>
      </c>
      <c r="E27" s="26">
        <v>20.7</v>
      </c>
      <c r="F27" s="26">
        <v>22.9</v>
      </c>
      <c r="G27" s="8" t="s">
        <v>33</v>
      </c>
      <c r="H27" s="27">
        <v>157</v>
      </c>
    </row>
    <row r="28" spans="1:8">
      <c r="A28" s="8">
        <v>3</v>
      </c>
      <c r="B28" s="24" t="s">
        <v>49</v>
      </c>
      <c r="C28" s="25" t="s">
        <v>50</v>
      </c>
      <c r="D28" s="13" t="s">
        <v>36</v>
      </c>
      <c r="E28" s="26">
        <v>0.4</v>
      </c>
      <c r="F28" s="26">
        <v>0.5</v>
      </c>
      <c r="G28" s="8" t="s">
        <v>37</v>
      </c>
      <c r="H28" s="27">
        <v>7200</v>
      </c>
    </row>
    <row r="29" spans="1:8">
      <c r="A29" s="8">
        <v>12</v>
      </c>
      <c r="B29" s="24" t="s">
        <v>51</v>
      </c>
      <c r="C29" s="25" t="s">
        <v>52</v>
      </c>
      <c r="D29" s="13" t="s">
        <v>40</v>
      </c>
      <c r="E29" s="26">
        <v>1.4</v>
      </c>
      <c r="F29" s="26">
        <v>1.6</v>
      </c>
      <c r="G29" s="8" t="s">
        <v>41</v>
      </c>
      <c r="H29" s="27">
        <v>2250</v>
      </c>
    </row>
    <row r="30" spans="1:8">
      <c r="A30" s="8">
        <v>15</v>
      </c>
      <c r="B30" s="24" t="s">
        <v>53</v>
      </c>
      <c r="C30" s="25" t="s">
        <v>54</v>
      </c>
      <c r="D30" s="13" t="s">
        <v>44</v>
      </c>
      <c r="E30" s="26">
        <v>0.9</v>
      </c>
      <c r="F30" s="26">
        <v>1</v>
      </c>
      <c r="G30" s="8" t="s">
        <v>33</v>
      </c>
      <c r="H30" s="27">
        <v>3600</v>
      </c>
    </row>
    <row r="31" spans="1:8">
      <c r="A31" s="8">
        <v>202</v>
      </c>
      <c r="B31" s="24" t="s">
        <v>55</v>
      </c>
      <c r="C31" s="25" t="s">
        <v>56</v>
      </c>
      <c r="D31" s="13" t="s">
        <v>32</v>
      </c>
      <c r="E31" s="26">
        <v>0.1</v>
      </c>
      <c r="F31" s="26">
        <v>0.1</v>
      </c>
      <c r="G31" s="8" t="s">
        <v>33</v>
      </c>
      <c r="H31" s="27">
        <v>36000</v>
      </c>
    </row>
    <row r="32" spans="1:8">
      <c r="A32" s="8">
        <v>203</v>
      </c>
      <c r="B32" s="24" t="s">
        <v>57</v>
      </c>
      <c r="C32" s="25" t="s">
        <v>58</v>
      </c>
      <c r="D32" s="13" t="s">
        <v>32</v>
      </c>
      <c r="E32" s="26">
        <v>0.4</v>
      </c>
      <c r="F32" s="26">
        <v>0.4</v>
      </c>
      <c r="G32" s="8" t="s">
        <v>33</v>
      </c>
      <c r="H32" s="27">
        <v>9000</v>
      </c>
    </row>
    <row r="33" spans="1:8">
      <c r="A33" s="8">
        <v>200</v>
      </c>
      <c r="B33" s="24" t="s">
        <v>59</v>
      </c>
      <c r="C33" s="25" t="s">
        <v>60</v>
      </c>
      <c r="D33" s="13" t="s">
        <v>36</v>
      </c>
      <c r="E33" s="26">
        <v>1.2</v>
      </c>
      <c r="F33" s="26">
        <v>1.3</v>
      </c>
      <c r="G33" s="8" t="s">
        <v>37</v>
      </c>
      <c r="H33" s="27">
        <v>2769</v>
      </c>
    </row>
    <row r="34" spans="1:8">
      <c r="A34" s="8">
        <v>7</v>
      </c>
      <c r="B34" s="24" t="s">
        <v>61</v>
      </c>
      <c r="C34" s="25" t="s">
        <v>62</v>
      </c>
      <c r="D34" s="13" t="s">
        <v>36</v>
      </c>
      <c r="E34" s="26">
        <v>0.1</v>
      </c>
      <c r="F34" s="26">
        <v>0.2</v>
      </c>
      <c r="G34" s="8" t="s">
        <v>37</v>
      </c>
      <c r="H34" s="27">
        <v>18000</v>
      </c>
    </row>
    <row r="35" spans="1:8">
      <c r="A35" s="8">
        <v>201</v>
      </c>
      <c r="B35" s="24" t="s">
        <v>63</v>
      </c>
      <c r="C35" s="25" t="s">
        <v>64</v>
      </c>
      <c r="D35" s="13" t="s">
        <v>65</v>
      </c>
      <c r="E35" s="26">
        <v>1</v>
      </c>
      <c r="F35" s="26">
        <v>1</v>
      </c>
      <c r="G35" s="8" t="s">
        <v>41</v>
      </c>
      <c r="H35" s="27">
        <v>3600</v>
      </c>
    </row>
    <row r="36" spans="1:8">
      <c r="A36" s="8">
        <v>10</v>
      </c>
      <c r="B36" s="24" t="s">
        <v>66</v>
      </c>
      <c r="C36" s="25" t="s">
        <v>67</v>
      </c>
      <c r="D36" s="13" t="s">
        <v>65</v>
      </c>
      <c r="E36" s="26">
        <v>0.5</v>
      </c>
      <c r="F36" s="26">
        <v>0.5</v>
      </c>
      <c r="G36" s="8" t="s">
        <v>41</v>
      </c>
      <c r="H36" s="27">
        <v>7200</v>
      </c>
    </row>
    <row r="37" spans="1:8">
      <c r="A37" s="8">
        <v>4</v>
      </c>
      <c r="B37" s="24" t="s">
        <v>68</v>
      </c>
      <c r="C37" s="25" t="s">
        <v>69</v>
      </c>
      <c r="D37" s="13" t="s">
        <v>44</v>
      </c>
      <c r="E37" s="26">
        <v>1.3</v>
      </c>
      <c r="F37" s="26">
        <v>1.4</v>
      </c>
      <c r="G37" s="8" t="s">
        <v>33</v>
      </c>
      <c r="H37" s="27">
        <v>2571</v>
      </c>
    </row>
    <row r="38" spans="1:8">
      <c r="A38" s="8">
        <v>14</v>
      </c>
      <c r="B38" s="24" t="s">
        <v>70</v>
      </c>
      <c r="C38" s="25" t="s">
        <v>71</v>
      </c>
      <c r="D38" s="13" t="s">
        <v>44</v>
      </c>
      <c r="E38" s="26">
        <v>0.5</v>
      </c>
      <c r="F38" s="26">
        <v>0.6</v>
      </c>
      <c r="G38" s="8" t="s">
        <v>33</v>
      </c>
      <c r="H38" s="27">
        <v>6000</v>
      </c>
    </row>
    <row r="39" spans="1:8">
      <c r="A39" s="8">
        <v>54</v>
      </c>
      <c r="B39" s="24" t="s">
        <v>72</v>
      </c>
      <c r="C39" s="25" t="s">
        <v>73</v>
      </c>
      <c r="D39" s="13" t="s">
        <v>74</v>
      </c>
      <c r="E39" s="26">
        <v>18.6</v>
      </c>
      <c r="F39" s="26">
        <v>21</v>
      </c>
      <c r="G39" s="8" t="s">
        <v>33</v>
      </c>
      <c r="H39" s="27">
        <v>171</v>
      </c>
    </row>
    <row r="40" spans="1:8">
      <c r="A40" s="8">
        <v>17</v>
      </c>
      <c r="B40" s="24" t="s">
        <v>75</v>
      </c>
      <c r="C40" s="25" t="s">
        <v>76</v>
      </c>
      <c r="D40" s="13" t="s">
        <v>77</v>
      </c>
      <c r="E40" s="26">
        <v>36.6</v>
      </c>
      <c r="F40" s="26">
        <v>41.2</v>
      </c>
      <c r="G40" s="8" t="s">
        <v>33</v>
      </c>
      <c r="H40" s="27">
        <v>87</v>
      </c>
    </row>
    <row r="41" spans="1:8">
      <c r="A41" s="8">
        <v>18</v>
      </c>
      <c r="B41" s="24" t="s">
        <v>78</v>
      </c>
      <c r="C41" s="25" t="s">
        <v>79</v>
      </c>
      <c r="D41" s="13" t="s">
        <v>74</v>
      </c>
      <c r="E41" s="26">
        <v>11.2</v>
      </c>
      <c r="F41" s="26">
        <v>12.6</v>
      </c>
      <c r="G41" s="8" t="s">
        <v>37</v>
      </c>
      <c r="H41" s="27">
        <v>286</v>
      </c>
    </row>
    <row r="42" spans="1:8">
      <c r="A42" s="8">
        <v>19</v>
      </c>
      <c r="B42" s="24" t="s">
        <v>80</v>
      </c>
      <c r="C42" s="25" t="s">
        <v>81</v>
      </c>
      <c r="D42" s="13" t="s">
        <v>82</v>
      </c>
      <c r="E42" s="26">
        <v>2.8</v>
      </c>
      <c r="F42" s="26">
        <v>3.2</v>
      </c>
      <c r="G42" s="8" t="s">
        <v>33</v>
      </c>
      <c r="H42" s="27">
        <v>1125</v>
      </c>
    </row>
    <row r="43" spans="1:2">
      <c r="A43" s="8">
        <v>11</v>
      </c>
      <c r="B43" s="24" t="s">
        <v>83</v>
      </c>
    </row>
    <row r="44" spans="1:2">
      <c r="A44" s="8">
        <v>190</v>
      </c>
      <c r="B44" s="24" t="s">
        <v>84</v>
      </c>
    </row>
    <row r="45" spans="1:8">
      <c r="A45" s="8"/>
      <c r="B45" s="22" t="s">
        <v>85</v>
      </c>
      <c r="C45" s="23" t="s">
        <v>85</v>
      </c>
      <c r="D45" s="23"/>
      <c r="E45" s="23"/>
      <c r="F45" s="23"/>
      <c r="G45" s="23"/>
      <c r="H45" s="23"/>
    </row>
    <row r="46" spans="1:8">
      <c r="A46" s="8">
        <v>21</v>
      </c>
      <c r="B46" s="24" t="s">
        <v>86</v>
      </c>
      <c r="C46" s="25" t="s">
        <v>86</v>
      </c>
      <c r="D46" s="13" t="s">
        <v>44</v>
      </c>
      <c r="E46" s="26">
        <v>2.9</v>
      </c>
      <c r="F46" s="26">
        <v>3.2</v>
      </c>
      <c r="G46" s="8" t="s">
        <v>87</v>
      </c>
      <c r="H46" s="27">
        <v>1125</v>
      </c>
    </row>
    <row r="47" spans="1:8">
      <c r="A47" s="28">
        <v>22</v>
      </c>
      <c r="B47" s="29" t="s">
        <v>88</v>
      </c>
      <c r="C47" s="29" t="s">
        <v>89</v>
      </c>
      <c r="D47" s="30" t="s">
        <v>90</v>
      </c>
      <c r="E47" s="31">
        <v>7.3</v>
      </c>
      <c r="F47" s="31">
        <v>8.1</v>
      </c>
      <c r="G47" s="28" t="s">
        <v>91</v>
      </c>
      <c r="H47" s="32">
        <v>444</v>
      </c>
    </row>
    <row r="48" spans="1:8">
      <c r="A48" s="8">
        <v>23</v>
      </c>
      <c r="B48" s="24" t="s">
        <v>92</v>
      </c>
      <c r="C48" s="25" t="s">
        <v>93</v>
      </c>
      <c r="D48" s="13" t="s">
        <v>44</v>
      </c>
      <c r="E48" s="26">
        <v>8.4</v>
      </c>
      <c r="F48" s="26">
        <v>9.2</v>
      </c>
      <c r="G48" s="8" t="s">
        <v>33</v>
      </c>
      <c r="H48" s="27">
        <v>391</v>
      </c>
    </row>
    <row r="49" spans="1:8">
      <c r="A49" s="8">
        <v>24</v>
      </c>
      <c r="B49" s="24" t="s">
        <v>94</v>
      </c>
      <c r="C49" s="25" t="s">
        <v>95</v>
      </c>
      <c r="D49" s="13" t="s">
        <v>96</v>
      </c>
      <c r="E49" s="26">
        <v>10.7</v>
      </c>
      <c r="F49" s="26">
        <v>11.9</v>
      </c>
      <c r="G49" s="8" t="s">
        <v>97</v>
      </c>
      <c r="H49" s="27">
        <v>303</v>
      </c>
    </row>
    <row r="50" spans="1:9">
      <c r="A50" s="28">
        <v>25</v>
      </c>
      <c r="B50" s="29" t="s">
        <v>88</v>
      </c>
      <c r="C50" s="29" t="s">
        <v>89</v>
      </c>
      <c r="D50" s="30" t="s">
        <v>90</v>
      </c>
      <c r="E50" s="31">
        <v>10.1</v>
      </c>
      <c r="F50" s="31">
        <v>11.2</v>
      </c>
      <c r="G50" s="28" t="s">
        <v>91</v>
      </c>
      <c r="H50" s="32">
        <v>321</v>
      </c>
      <c r="I50" s="1" t="s">
        <v>98</v>
      </c>
    </row>
    <row r="51" spans="1:8">
      <c r="A51" s="8">
        <v>26</v>
      </c>
      <c r="B51" s="24" t="s">
        <v>99</v>
      </c>
      <c r="C51" s="25" t="s">
        <v>100</v>
      </c>
      <c r="D51" s="13" t="s">
        <v>90</v>
      </c>
      <c r="E51" s="26">
        <v>9.8</v>
      </c>
      <c r="F51" s="26">
        <v>10.8</v>
      </c>
      <c r="G51" s="8" t="s">
        <v>91</v>
      </c>
      <c r="H51" s="27">
        <v>333</v>
      </c>
    </row>
    <row r="52" spans="1:8">
      <c r="A52" s="8">
        <v>28</v>
      </c>
      <c r="B52" s="24" t="s">
        <v>101</v>
      </c>
      <c r="C52" s="25" t="s">
        <v>102</v>
      </c>
      <c r="D52" s="13" t="s">
        <v>90</v>
      </c>
      <c r="E52" s="26">
        <v>10.3</v>
      </c>
      <c r="F52" s="26">
        <v>11.5</v>
      </c>
      <c r="G52" s="8" t="s">
        <v>97</v>
      </c>
      <c r="H52" s="27">
        <v>313</v>
      </c>
    </row>
    <row r="53" spans="1:8">
      <c r="A53" s="8">
        <v>29</v>
      </c>
      <c r="B53" s="24" t="s">
        <v>103</v>
      </c>
      <c r="C53" s="25" t="s">
        <v>104</v>
      </c>
      <c r="D53" s="13" t="s">
        <v>44</v>
      </c>
      <c r="E53" s="26">
        <v>6.2</v>
      </c>
      <c r="F53" s="26">
        <v>6.8</v>
      </c>
      <c r="G53" s="8" t="s">
        <v>87</v>
      </c>
      <c r="H53" s="27">
        <v>529</v>
      </c>
    </row>
    <row r="54" spans="1:8">
      <c r="A54" s="8">
        <v>30</v>
      </c>
      <c r="B54" s="24" t="s">
        <v>105</v>
      </c>
      <c r="C54" s="25" t="s">
        <v>106</v>
      </c>
      <c r="D54" s="13" t="s">
        <v>90</v>
      </c>
      <c r="E54" s="26">
        <v>10.3</v>
      </c>
      <c r="F54" s="26">
        <v>11.4</v>
      </c>
      <c r="G54" s="8" t="s">
        <v>97</v>
      </c>
      <c r="H54" s="27">
        <v>316</v>
      </c>
    </row>
    <row r="55" ht="24" spans="1:8">
      <c r="A55" s="8">
        <v>31</v>
      </c>
      <c r="B55" s="24" t="s">
        <v>107</v>
      </c>
      <c r="C55" s="25" t="s">
        <v>108</v>
      </c>
      <c r="D55" s="13" t="s">
        <v>109</v>
      </c>
      <c r="E55" s="26">
        <v>27.3</v>
      </c>
      <c r="F55" s="26">
        <v>30.5</v>
      </c>
      <c r="G55" s="8" t="s">
        <v>97</v>
      </c>
      <c r="H55" s="27">
        <v>118</v>
      </c>
    </row>
    <row r="56" spans="1:8">
      <c r="A56" s="8">
        <v>90</v>
      </c>
      <c r="B56" s="24" t="s">
        <v>110</v>
      </c>
      <c r="C56" s="25" t="s">
        <v>111</v>
      </c>
      <c r="D56" s="13" t="s">
        <v>44</v>
      </c>
      <c r="E56" s="26">
        <v>34.4</v>
      </c>
      <c r="F56" s="26">
        <v>38.1</v>
      </c>
      <c r="G56" s="8" t="s">
        <v>33</v>
      </c>
      <c r="H56" s="27">
        <v>94</v>
      </c>
    </row>
    <row r="57" spans="1:8">
      <c r="A57" s="8">
        <v>32</v>
      </c>
      <c r="B57" s="24" t="s">
        <v>112</v>
      </c>
      <c r="C57" s="25" t="s">
        <v>113</v>
      </c>
      <c r="D57" s="13" t="s">
        <v>44</v>
      </c>
      <c r="E57" s="26">
        <v>6.2</v>
      </c>
      <c r="F57" s="26">
        <v>6.8</v>
      </c>
      <c r="G57" s="8" t="s">
        <v>87</v>
      </c>
      <c r="H57" s="27">
        <v>529</v>
      </c>
    </row>
    <row r="58" ht="24" spans="1:8">
      <c r="A58" s="8">
        <v>33</v>
      </c>
      <c r="B58" s="24" t="s">
        <v>114</v>
      </c>
      <c r="C58" s="25" t="s">
        <v>115</v>
      </c>
      <c r="D58" s="13" t="s">
        <v>90</v>
      </c>
      <c r="E58" s="26">
        <v>14.3</v>
      </c>
      <c r="F58" s="26">
        <v>15.8</v>
      </c>
      <c r="G58" s="8" t="s">
        <v>97</v>
      </c>
      <c r="H58" s="27">
        <v>228</v>
      </c>
    </row>
    <row r="59" spans="1:8">
      <c r="A59" s="8">
        <v>34</v>
      </c>
      <c r="B59" s="24" t="s">
        <v>116</v>
      </c>
      <c r="C59" s="25" t="s">
        <v>117</v>
      </c>
      <c r="D59" s="13" t="s">
        <v>118</v>
      </c>
      <c r="E59" s="26">
        <v>32.7</v>
      </c>
      <c r="F59" s="26">
        <v>37.1</v>
      </c>
      <c r="G59" s="8" t="s">
        <v>119</v>
      </c>
      <c r="H59" s="27">
        <v>97</v>
      </c>
    </row>
    <row r="60" spans="1:8">
      <c r="A60" s="8"/>
      <c r="B60" s="22" t="s">
        <v>120</v>
      </c>
      <c r="C60" s="23" t="s">
        <v>120</v>
      </c>
      <c r="D60" s="23"/>
      <c r="E60" s="23"/>
      <c r="F60" s="23"/>
      <c r="G60" s="23"/>
      <c r="H60" s="23"/>
    </row>
    <row r="61" spans="1:8">
      <c r="A61" s="8">
        <v>37</v>
      </c>
      <c r="B61" s="24" t="s">
        <v>121</v>
      </c>
      <c r="C61" s="25" t="s">
        <v>122</v>
      </c>
      <c r="D61" s="13" t="s">
        <v>123</v>
      </c>
      <c r="E61" s="26">
        <v>16.3</v>
      </c>
      <c r="F61" s="26">
        <v>18</v>
      </c>
      <c r="G61" s="8" t="s">
        <v>97</v>
      </c>
      <c r="H61" s="27">
        <v>200</v>
      </c>
    </row>
    <row r="62" spans="1:8">
      <c r="A62" s="8">
        <v>38</v>
      </c>
      <c r="B62" s="24" t="s">
        <v>124</v>
      </c>
      <c r="C62" s="25" t="s">
        <v>125</v>
      </c>
      <c r="D62" s="13" t="s">
        <v>126</v>
      </c>
      <c r="E62" s="26">
        <v>15.8</v>
      </c>
      <c r="F62" s="26">
        <v>17.4</v>
      </c>
      <c r="G62" s="8" t="s">
        <v>91</v>
      </c>
      <c r="H62" s="27">
        <v>207</v>
      </c>
    </row>
    <row r="63" spans="1:8">
      <c r="A63" s="8">
        <v>39</v>
      </c>
      <c r="B63" s="24" t="s">
        <v>127</v>
      </c>
      <c r="C63" s="25" t="s">
        <v>127</v>
      </c>
      <c r="D63" s="13" t="s">
        <v>44</v>
      </c>
      <c r="E63" s="26">
        <v>21.8</v>
      </c>
      <c r="F63" s="26">
        <v>24.1</v>
      </c>
      <c r="G63" s="8" t="s">
        <v>87</v>
      </c>
      <c r="H63" s="27">
        <v>149</v>
      </c>
    </row>
    <row r="64" spans="1:8">
      <c r="A64" s="8">
        <v>41</v>
      </c>
      <c r="B64" s="24" t="s">
        <v>128</v>
      </c>
      <c r="C64" s="25" t="s">
        <v>128</v>
      </c>
      <c r="D64" s="13" t="s">
        <v>129</v>
      </c>
      <c r="E64" s="26">
        <v>34.5</v>
      </c>
      <c r="F64" s="26">
        <v>40.1</v>
      </c>
      <c r="G64" s="8" t="s">
        <v>97</v>
      </c>
      <c r="H64" s="27">
        <v>90</v>
      </c>
    </row>
    <row r="65" spans="1:8">
      <c r="A65" s="8">
        <v>42</v>
      </c>
      <c r="B65" s="24" t="s">
        <v>130</v>
      </c>
      <c r="C65" s="25" t="s">
        <v>130</v>
      </c>
      <c r="D65" s="13" t="s">
        <v>131</v>
      </c>
      <c r="E65" s="26">
        <v>9.8</v>
      </c>
      <c r="F65" s="26">
        <v>10.9</v>
      </c>
      <c r="G65" s="8" t="s">
        <v>91</v>
      </c>
      <c r="H65" s="27">
        <v>330</v>
      </c>
    </row>
    <row r="66" spans="1:8">
      <c r="A66" s="34">
        <v>43</v>
      </c>
      <c r="B66" s="24" t="s">
        <v>132</v>
      </c>
      <c r="C66" s="35" t="s">
        <v>133</v>
      </c>
      <c r="D66" s="36" t="s">
        <v>134</v>
      </c>
      <c r="E66" s="37">
        <v>19.4</v>
      </c>
      <c r="F66" s="37">
        <v>21.7</v>
      </c>
      <c r="G66" s="34" t="s">
        <v>91</v>
      </c>
      <c r="H66" s="38">
        <v>166</v>
      </c>
    </row>
    <row r="67" spans="1:8">
      <c r="A67" s="8">
        <v>44</v>
      </c>
      <c r="B67" s="24" t="s">
        <v>135</v>
      </c>
      <c r="C67" s="25" t="s">
        <v>136</v>
      </c>
      <c r="D67" s="13" t="s">
        <v>90</v>
      </c>
      <c r="E67" s="26">
        <v>16.5</v>
      </c>
      <c r="F67" s="26">
        <v>18.6</v>
      </c>
      <c r="G67" s="8" t="s">
        <v>97</v>
      </c>
      <c r="H67" s="27">
        <v>194</v>
      </c>
    </row>
    <row r="68" spans="1:8">
      <c r="A68" s="8">
        <v>45</v>
      </c>
      <c r="B68" s="24" t="s">
        <v>137</v>
      </c>
      <c r="C68" s="25" t="s">
        <v>138</v>
      </c>
      <c r="D68" s="13" t="s">
        <v>74</v>
      </c>
      <c r="E68" s="26">
        <v>23.6</v>
      </c>
      <c r="F68" s="26">
        <v>26.6</v>
      </c>
      <c r="G68" s="8" t="s">
        <v>91</v>
      </c>
      <c r="H68" s="27">
        <v>135</v>
      </c>
    </row>
    <row r="69" spans="1:8">
      <c r="A69" s="8"/>
      <c r="B69" s="22" t="s">
        <v>139</v>
      </c>
      <c r="C69" s="23" t="s">
        <v>139</v>
      </c>
      <c r="D69" s="23"/>
      <c r="E69" s="23"/>
      <c r="F69" s="23"/>
      <c r="G69" s="23"/>
      <c r="H69" s="23"/>
    </row>
    <row r="70" spans="1:8">
      <c r="A70" s="8">
        <v>46</v>
      </c>
      <c r="B70" s="24" t="s">
        <v>140</v>
      </c>
      <c r="C70" s="25" t="s">
        <v>140</v>
      </c>
      <c r="D70" s="13" t="s">
        <v>141</v>
      </c>
      <c r="E70" s="26">
        <v>8.8</v>
      </c>
      <c r="F70" s="26">
        <v>9.8</v>
      </c>
      <c r="G70" s="8" t="s">
        <v>97</v>
      </c>
      <c r="H70" s="27">
        <v>367</v>
      </c>
    </row>
    <row r="71" spans="1:8">
      <c r="A71" s="8">
        <v>47</v>
      </c>
      <c r="B71" s="24" t="s">
        <v>142</v>
      </c>
      <c r="C71" s="25" t="s">
        <v>142</v>
      </c>
      <c r="D71" s="13" t="s">
        <v>44</v>
      </c>
      <c r="E71" s="26">
        <v>16.7</v>
      </c>
      <c r="F71" s="26">
        <v>18.4</v>
      </c>
      <c r="G71" s="8" t="s">
        <v>87</v>
      </c>
      <c r="H71" s="27">
        <v>196</v>
      </c>
    </row>
    <row r="72" ht="24" spans="1:8">
      <c r="A72" s="8">
        <v>48</v>
      </c>
      <c r="B72" s="24" t="s">
        <v>143</v>
      </c>
      <c r="C72" s="25" t="s">
        <v>144</v>
      </c>
      <c r="D72" s="13" t="s">
        <v>90</v>
      </c>
      <c r="E72" s="26">
        <v>10.6</v>
      </c>
      <c r="F72" s="26">
        <v>11.9</v>
      </c>
      <c r="G72" s="8" t="s">
        <v>91</v>
      </c>
      <c r="H72" s="27">
        <v>303</v>
      </c>
    </row>
    <row r="73" ht="24" spans="1:8">
      <c r="A73" s="8">
        <v>49</v>
      </c>
      <c r="B73" s="24" t="s">
        <v>145</v>
      </c>
      <c r="C73" s="25" t="s">
        <v>146</v>
      </c>
      <c r="D73" s="13" t="s">
        <v>126</v>
      </c>
      <c r="E73" s="26">
        <v>16.7</v>
      </c>
      <c r="F73" s="26">
        <v>20.4</v>
      </c>
      <c r="G73" s="8" t="s">
        <v>91</v>
      </c>
      <c r="H73" s="27">
        <v>177</v>
      </c>
    </row>
    <row r="74" spans="1:8">
      <c r="A74" s="8">
        <v>50</v>
      </c>
      <c r="B74" s="24" t="s">
        <v>147</v>
      </c>
      <c r="C74" s="25" t="s">
        <v>148</v>
      </c>
      <c r="D74" s="13" t="s">
        <v>44</v>
      </c>
      <c r="E74" s="26">
        <v>12.7</v>
      </c>
      <c r="F74" s="26">
        <v>14</v>
      </c>
      <c r="G74" s="8" t="s">
        <v>87</v>
      </c>
      <c r="H74" s="27">
        <v>257</v>
      </c>
    </row>
    <row r="75" spans="1:8">
      <c r="A75" s="8">
        <v>51</v>
      </c>
      <c r="B75" s="24" t="s">
        <v>149</v>
      </c>
      <c r="C75" s="25" t="s">
        <v>150</v>
      </c>
      <c r="D75" s="13" t="s">
        <v>151</v>
      </c>
      <c r="E75" s="26">
        <v>12</v>
      </c>
      <c r="F75" s="26">
        <v>13.7</v>
      </c>
      <c r="G75" s="8" t="s">
        <v>97</v>
      </c>
      <c r="H75" s="27">
        <v>263</v>
      </c>
    </row>
    <row r="76" spans="1:8">
      <c r="A76" s="8">
        <v>52</v>
      </c>
      <c r="B76" s="24" t="s">
        <v>152</v>
      </c>
      <c r="C76" s="25" t="s">
        <v>152</v>
      </c>
      <c r="D76" s="13" t="s">
        <v>153</v>
      </c>
      <c r="E76" s="26">
        <v>9</v>
      </c>
      <c r="F76" s="26">
        <v>10</v>
      </c>
      <c r="G76" s="8" t="s">
        <v>97</v>
      </c>
      <c r="H76" s="27">
        <v>360</v>
      </c>
    </row>
    <row r="77" spans="1:8">
      <c r="A77" s="8">
        <v>53</v>
      </c>
      <c r="B77" s="24" t="s">
        <v>154</v>
      </c>
      <c r="C77" s="25" t="s">
        <v>154</v>
      </c>
      <c r="D77" s="13" t="s">
        <v>44</v>
      </c>
      <c r="E77" s="26">
        <v>10.7</v>
      </c>
      <c r="F77" s="26">
        <v>11.8</v>
      </c>
      <c r="G77" s="8" t="s">
        <v>87</v>
      </c>
      <c r="H77" s="27">
        <v>305</v>
      </c>
    </row>
    <row r="78" spans="1:8">
      <c r="A78" s="8">
        <v>55</v>
      </c>
      <c r="B78" s="24" t="s">
        <v>155</v>
      </c>
      <c r="C78" s="25" t="s">
        <v>155</v>
      </c>
      <c r="D78" s="13" t="s">
        <v>131</v>
      </c>
      <c r="E78" s="26">
        <v>13.4</v>
      </c>
      <c r="F78" s="26">
        <v>15</v>
      </c>
      <c r="G78" s="8" t="s">
        <v>91</v>
      </c>
      <c r="H78" s="27">
        <v>240</v>
      </c>
    </row>
    <row r="79" spans="1:8">
      <c r="A79" s="8">
        <v>56</v>
      </c>
      <c r="B79" s="24" t="s">
        <v>156</v>
      </c>
      <c r="C79" s="25" t="s">
        <v>157</v>
      </c>
      <c r="D79" s="13" t="s">
        <v>131</v>
      </c>
      <c r="E79" s="26">
        <v>27.9</v>
      </c>
      <c r="F79" s="26">
        <v>31.2</v>
      </c>
      <c r="G79" s="8" t="s">
        <v>97</v>
      </c>
      <c r="H79" s="27">
        <v>115</v>
      </c>
    </row>
    <row r="80" spans="1:8">
      <c r="A80" s="8">
        <v>57</v>
      </c>
      <c r="B80" s="24" t="s">
        <v>158</v>
      </c>
      <c r="C80" s="25" t="s">
        <v>159</v>
      </c>
      <c r="D80" s="13" t="s">
        <v>90</v>
      </c>
      <c r="E80" s="26">
        <v>23.4</v>
      </c>
      <c r="F80" s="26">
        <v>26.4</v>
      </c>
      <c r="G80" s="8" t="s">
        <v>97</v>
      </c>
      <c r="H80" s="27">
        <v>136</v>
      </c>
    </row>
    <row r="81" spans="1:8">
      <c r="A81" s="8">
        <v>58</v>
      </c>
      <c r="B81" s="24" t="s">
        <v>160</v>
      </c>
      <c r="C81" s="25" t="s">
        <v>161</v>
      </c>
      <c r="D81" s="13" t="s">
        <v>90</v>
      </c>
      <c r="E81" s="26">
        <v>15.9</v>
      </c>
      <c r="F81" s="26">
        <v>18.1</v>
      </c>
      <c r="G81" s="8" t="s">
        <v>97</v>
      </c>
      <c r="H81" s="27">
        <v>199</v>
      </c>
    </row>
    <row r="82" ht="24" spans="1:8">
      <c r="A82" s="8">
        <v>59</v>
      </c>
      <c r="B82" s="24" t="s">
        <v>162</v>
      </c>
      <c r="C82" s="25" t="s">
        <v>163</v>
      </c>
      <c r="D82" s="13" t="s">
        <v>90</v>
      </c>
      <c r="E82" s="26">
        <v>33.5</v>
      </c>
      <c r="F82" s="26">
        <v>37.9</v>
      </c>
      <c r="G82" s="8" t="s">
        <v>97</v>
      </c>
      <c r="H82" s="27">
        <v>95</v>
      </c>
    </row>
    <row r="83" ht="24" spans="1:8">
      <c r="A83" s="8">
        <v>60</v>
      </c>
      <c r="B83" s="24" t="s">
        <v>164</v>
      </c>
      <c r="C83" s="25" t="s">
        <v>165</v>
      </c>
      <c r="D83" s="13" t="s">
        <v>90</v>
      </c>
      <c r="E83" s="26">
        <v>51</v>
      </c>
      <c r="F83" s="26">
        <v>57.4</v>
      </c>
      <c r="G83" s="8" t="s">
        <v>97</v>
      </c>
      <c r="H83" s="27">
        <v>63</v>
      </c>
    </row>
    <row r="84" spans="1:8">
      <c r="A84" s="8">
        <v>61</v>
      </c>
      <c r="B84" s="24" t="s">
        <v>166</v>
      </c>
      <c r="C84" s="25" t="s">
        <v>167</v>
      </c>
      <c r="D84" s="13" t="s">
        <v>131</v>
      </c>
      <c r="E84" s="26">
        <v>15.7</v>
      </c>
      <c r="F84" s="26">
        <v>17.5</v>
      </c>
      <c r="G84" s="8" t="s">
        <v>97</v>
      </c>
      <c r="H84" s="27">
        <v>206</v>
      </c>
    </row>
    <row r="85" spans="1:8">
      <c r="A85" s="8">
        <v>62</v>
      </c>
      <c r="B85" s="24" t="s">
        <v>168</v>
      </c>
      <c r="C85" s="25" t="s">
        <v>169</v>
      </c>
      <c r="D85" s="13" t="s">
        <v>90</v>
      </c>
      <c r="E85" s="26">
        <v>9.5</v>
      </c>
      <c r="F85" s="26">
        <v>10.6</v>
      </c>
      <c r="G85" s="8" t="s">
        <v>97</v>
      </c>
      <c r="H85" s="27">
        <v>340</v>
      </c>
    </row>
    <row r="86" spans="1:8">
      <c r="A86" s="8">
        <v>63</v>
      </c>
      <c r="B86" s="24" t="s">
        <v>170</v>
      </c>
      <c r="C86" s="25" t="s">
        <v>171</v>
      </c>
      <c r="D86" s="13" t="s">
        <v>109</v>
      </c>
      <c r="E86" s="26">
        <v>12.4</v>
      </c>
      <c r="F86" s="26">
        <v>13.9</v>
      </c>
      <c r="G86" s="8" t="s">
        <v>97</v>
      </c>
      <c r="H86" s="27">
        <v>259</v>
      </c>
    </row>
    <row r="87" spans="1:8">
      <c r="A87" s="8">
        <v>64</v>
      </c>
      <c r="B87" s="24" t="s">
        <v>172</v>
      </c>
      <c r="C87" s="25" t="s">
        <v>172</v>
      </c>
      <c r="D87" s="13" t="s">
        <v>90</v>
      </c>
      <c r="E87" s="26">
        <v>14.8</v>
      </c>
      <c r="F87" s="26">
        <v>16.6</v>
      </c>
      <c r="G87" s="8" t="s">
        <v>97</v>
      </c>
      <c r="H87" s="27">
        <v>217</v>
      </c>
    </row>
    <row r="88" spans="1:8">
      <c r="A88" s="8"/>
      <c r="B88" s="22" t="s">
        <v>173</v>
      </c>
      <c r="C88" s="23" t="s">
        <v>173</v>
      </c>
      <c r="D88" s="23"/>
      <c r="E88" s="23"/>
      <c r="F88" s="23"/>
      <c r="G88" s="23"/>
      <c r="H88" s="23"/>
    </row>
    <row r="89" spans="1:8">
      <c r="A89" s="8">
        <v>65</v>
      </c>
      <c r="B89" s="24" t="s">
        <v>174</v>
      </c>
      <c r="C89" s="25" t="s">
        <v>174</v>
      </c>
      <c r="D89" s="13" t="s">
        <v>131</v>
      </c>
      <c r="E89" s="26">
        <v>24.2</v>
      </c>
      <c r="F89" s="26">
        <v>27</v>
      </c>
      <c r="G89" s="8" t="s">
        <v>97</v>
      </c>
      <c r="H89" s="27">
        <v>133</v>
      </c>
    </row>
    <row r="90" spans="1:8">
      <c r="A90" s="8">
        <v>66</v>
      </c>
      <c r="B90" s="24" t="s">
        <v>175</v>
      </c>
      <c r="C90" s="25" t="s">
        <v>176</v>
      </c>
      <c r="D90" s="13" t="s">
        <v>109</v>
      </c>
      <c r="E90" s="26">
        <v>17.2</v>
      </c>
      <c r="F90" s="26">
        <v>19.4</v>
      </c>
      <c r="G90" s="8" t="s">
        <v>97</v>
      </c>
      <c r="H90" s="27">
        <v>186</v>
      </c>
    </row>
    <row r="91" spans="1:8">
      <c r="A91" s="8">
        <v>67</v>
      </c>
      <c r="B91" s="24" t="s">
        <v>177</v>
      </c>
      <c r="C91" s="25" t="s">
        <v>178</v>
      </c>
      <c r="D91" s="13" t="s">
        <v>131</v>
      </c>
      <c r="E91" s="26">
        <v>14.6</v>
      </c>
      <c r="F91" s="26">
        <v>16.2</v>
      </c>
      <c r="G91" s="8" t="s">
        <v>97</v>
      </c>
      <c r="H91" s="27">
        <v>222</v>
      </c>
    </row>
    <row r="92" spans="1:8">
      <c r="A92" s="8">
        <v>68</v>
      </c>
      <c r="B92" s="24" t="s">
        <v>179</v>
      </c>
      <c r="C92" s="25" t="s">
        <v>180</v>
      </c>
      <c r="D92" s="13" t="s">
        <v>109</v>
      </c>
      <c r="E92" s="26">
        <v>14.3</v>
      </c>
      <c r="F92" s="26">
        <v>16</v>
      </c>
      <c r="G92" s="8" t="s">
        <v>97</v>
      </c>
      <c r="H92" s="27">
        <v>225</v>
      </c>
    </row>
    <row r="93" spans="1:8">
      <c r="A93" s="8"/>
      <c r="B93" s="22" t="s">
        <v>181</v>
      </c>
      <c r="C93" s="23" t="s">
        <v>181</v>
      </c>
      <c r="D93" s="23"/>
      <c r="E93" s="23"/>
      <c r="F93" s="23"/>
      <c r="G93" s="23"/>
      <c r="H93" s="23"/>
    </row>
    <row r="94" spans="1:8">
      <c r="A94" s="8">
        <v>27</v>
      </c>
      <c r="B94" s="24" t="s">
        <v>182</v>
      </c>
      <c r="C94" s="25" t="s">
        <v>183</v>
      </c>
      <c r="D94" s="13" t="s">
        <v>44</v>
      </c>
      <c r="E94" s="26">
        <v>31.6</v>
      </c>
      <c r="F94" s="26">
        <v>34.9</v>
      </c>
      <c r="G94" s="8" t="s">
        <v>184</v>
      </c>
      <c r="H94" s="27">
        <v>103</v>
      </c>
    </row>
    <row r="95" spans="1:8">
      <c r="A95" s="8">
        <v>69</v>
      </c>
      <c r="B95" s="24" t="s">
        <v>185</v>
      </c>
      <c r="C95" s="25" t="s">
        <v>186</v>
      </c>
      <c r="D95" s="13" t="s">
        <v>90</v>
      </c>
      <c r="E95" s="26">
        <v>21.7</v>
      </c>
      <c r="F95" s="26">
        <v>24.1</v>
      </c>
      <c r="G95" s="8" t="s">
        <v>97</v>
      </c>
      <c r="H95" s="27">
        <v>149</v>
      </c>
    </row>
    <row r="96" spans="1:8">
      <c r="A96" s="8">
        <v>70</v>
      </c>
      <c r="B96" s="24" t="s">
        <v>187</v>
      </c>
      <c r="C96" s="25" t="s">
        <v>187</v>
      </c>
      <c r="D96" s="13" t="s">
        <v>131</v>
      </c>
      <c r="E96" s="26">
        <v>50.8</v>
      </c>
      <c r="F96" s="26">
        <v>57.2</v>
      </c>
      <c r="G96" s="8" t="s">
        <v>97</v>
      </c>
      <c r="H96" s="27">
        <v>63</v>
      </c>
    </row>
    <row r="97" spans="1:8">
      <c r="A97" s="8">
        <v>71</v>
      </c>
      <c r="B97" s="24" t="s">
        <v>188</v>
      </c>
      <c r="C97" s="25" t="s">
        <v>189</v>
      </c>
      <c r="D97" s="13" t="s">
        <v>90</v>
      </c>
      <c r="E97" s="26">
        <v>11.6</v>
      </c>
      <c r="F97" s="26">
        <v>12.8</v>
      </c>
      <c r="G97" s="8" t="s">
        <v>91</v>
      </c>
      <c r="H97" s="27">
        <v>281</v>
      </c>
    </row>
    <row r="98" spans="1:8">
      <c r="A98" s="8">
        <v>72</v>
      </c>
      <c r="B98" s="24" t="s">
        <v>190</v>
      </c>
      <c r="C98" s="25" t="s">
        <v>190</v>
      </c>
      <c r="D98" s="13" t="s">
        <v>44</v>
      </c>
      <c r="E98" s="26">
        <v>36.7</v>
      </c>
      <c r="F98" s="26">
        <v>40.5</v>
      </c>
      <c r="G98" s="8" t="s">
        <v>87</v>
      </c>
      <c r="H98" s="27">
        <v>89</v>
      </c>
    </row>
    <row r="99" ht="24" spans="1:8">
      <c r="A99" s="8">
        <v>73</v>
      </c>
      <c r="B99" s="24" t="s">
        <v>191</v>
      </c>
      <c r="C99" s="25" t="s">
        <v>192</v>
      </c>
      <c r="D99" s="13" t="s">
        <v>129</v>
      </c>
      <c r="E99" s="26">
        <v>78.1</v>
      </c>
      <c r="F99" s="26">
        <v>88.8</v>
      </c>
      <c r="G99" s="8" t="s">
        <v>119</v>
      </c>
      <c r="H99" s="27">
        <v>41</v>
      </c>
    </row>
    <row r="100" spans="1:9">
      <c r="A100" s="8">
        <v>74</v>
      </c>
      <c r="B100" s="24" t="s">
        <v>193</v>
      </c>
      <c r="C100" s="25" t="s">
        <v>194</v>
      </c>
      <c r="D100" s="13" t="s">
        <v>90</v>
      </c>
      <c r="E100" s="26">
        <v>48.5</v>
      </c>
      <c r="F100" s="39">
        <f>54.3</f>
        <v>54.3</v>
      </c>
      <c r="G100" s="8" t="s">
        <v>97</v>
      </c>
      <c r="H100" s="27">
        <v>66</v>
      </c>
      <c r="I100" s="1" t="s">
        <v>195</v>
      </c>
    </row>
    <row r="101" spans="1:8">
      <c r="A101" s="28">
        <v>96</v>
      </c>
      <c r="B101" s="29" t="s">
        <v>196</v>
      </c>
      <c r="C101" s="29" t="s">
        <v>197</v>
      </c>
      <c r="D101" s="13"/>
      <c r="E101" s="26"/>
      <c r="F101" s="39">
        <v>24.7</v>
      </c>
      <c r="G101" s="8"/>
      <c r="H101" s="27"/>
    </row>
    <row r="102" spans="1:8">
      <c r="A102" s="28">
        <v>74</v>
      </c>
      <c r="B102" s="29" t="s">
        <v>198</v>
      </c>
      <c r="C102" s="29" t="s">
        <v>197</v>
      </c>
      <c r="D102" s="13"/>
      <c r="E102" s="26"/>
      <c r="F102" s="39">
        <f>F100-F101</f>
        <v>29.6</v>
      </c>
      <c r="G102" s="8"/>
      <c r="H102" s="27"/>
    </row>
    <row r="103" spans="1:8">
      <c r="A103" s="8">
        <v>75</v>
      </c>
      <c r="B103" s="24" t="s">
        <v>199</v>
      </c>
      <c r="C103" s="40" t="s">
        <v>200</v>
      </c>
      <c r="D103" s="13" t="s">
        <v>90</v>
      </c>
      <c r="E103" s="26">
        <v>49.5</v>
      </c>
      <c r="F103" s="26">
        <v>55.7</v>
      </c>
      <c r="G103" s="8" t="s">
        <v>119</v>
      </c>
      <c r="H103" s="27">
        <v>65</v>
      </c>
    </row>
    <row r="104" spans="1:8">
      <c r="A104" s="8">
        <v>76</v>
      </c>
      <c r="B104" s="24" t="s">
        <v>201</v>
      </c>
      <c r="C104" s="25" t="s">
        <v>202</v>
      </c>
      <c r="D104" s="13" t="s">
        <v>131</v>
      </c>
      <c r="E104" s="26">
        <v>20.8</v>
      </c>
      <c r="F104" s="26">
        <v>23.4</v>
      </c>
      <c r="G104" s="8" t="s">
        <v>97</v>
      </c>
      <c r="H104" s="27">
        <v>154</v>
      </c>
    </row>
    <row r="105" spans="1:8">
      <c r="A105" s="8">
        <v>77</v>
      </c>
      <c r="B105" s="24" t="s">
        <v>203</v>
      </c>
      <c r="C105" s="25" t="s">
        <v>203</v>
      </c>
      <c r="D105" s="13" t="s">
        <v>90</v>
      </c>
      <c r="E105" s="26">
        <v>24</v>
      </c>
      <c r="F105" s="26">
        <v>26.7</v>
      </c>
      <c r="G105" s="8" t="s">
        <v>97</v>
      </c>
      <c r="H105" s="27">
        <v>135</v>
      </c>
    </row>
    <row r="106" spans="1:8">
      <c r="A106" s="8">
        <v>78</v>
      </c>
      <c r="B106" s="24" t="s">
        <v>204</v>
      </c>
      <c r="C106" s="25" t="s">
        <v>204</v>
      </c>
      <c r="D106" s="13" t="s">
        <v>205</v>
      </c>
      <c r="E106" s="26">
        <v>24.4</v>
      </c>
      <c r="F106" s="26">
        <v>27.7</v>
      </c>
      <c r="G106" s="8" t="s">
        <v>119</v>
      </c>
      <c r="H106" s="27">
        <v>130</v>
      </c>
    </row>
    <row r="107" spans="1:8">
      <c r="A107" s="8">
        <v>79</v>
      </c>
      <c r="B107" s="24" t="s">
        <v>206</v>
      </c>
      <c r="C107" s="25" t="s">
        <v>207</v>
      </c>
      <c r="D107" s="13" t="s">
        <v>131</v>
      </c>
      <c r="E107" s="26">
        <v>30.2</v>
      </c>
      <c r="F107" s="26">
        <v>34</v>
      </c>
      <c r="G107" s="8" t="s">
        <v>97</v>
      </c>
      <c r="H107" s="27">
        <v>106</v>
      </c>
    </row>
    <row r="108" spans="1:8">
      <c r="A108" s="8">
        <v>80</v>
      </c>
      <c r="B108" s="24" t="s">
        <v>208</v>
      </c>
      <c r="C108" s="25" t="s">
        <v>208</v>
      </c>
      <c r="D108" s="13" t="s">
        <v>44</v>
      </c>
      <c r="E108" s="26">
        <v>7.2</v>
      </c>
      <c r="F108" s="26">
        <v>8</v>
      </c>
      <c r="G108" s="8" t="s">
        <v>87</v>
      </c>
      <c r="H108" s="27">
        <v>450</v>
      </c>
    </row>
    <row r="109" spans="1:8">
      <c r="A109" s="8">
        <v>81</v>
      </c>
      <c r="B109" s="24" t="s">
        <v>209</v>
      </c>
      <c r="C109" s="25" t="s">
        <v>209</v>
      </c>
      <c r="D109" s="13" t="s">
        <v>90</v>
      </c>
      <c r="E109" s="26">
        <v>11.9</v>
      </c>
      <c r="F109" s="26">
        <v>13.3</v>
      </c>
      <c r="G109" s="8" t="s">
        <v>97</v>
      </c>
      <c r="H109" s="27">
        <v>271</v>
      </c>
    </row>
    <row r="110" spans="1:8">
      <c r="A110" s="8">
        <v>82</v>
      </c>
      <c r="B110" s="24" t="s">
        <v>210</v>
      </c>
      <c r="C110" s="25" t="s">
        <v>211</v>
      </c>
      <c r="D110" s="13" t="s">
        <v>44</v>
      </c>
      <c r="E110" s="26">
        <v>7.1</v>
      </c>
      <c r="F110" s="26">
        <v>7.9</v>
      </c>
      <c r="G110" s="8" t="s">
        <v>87</v>
      </c>
      <c r="H110" s="27">
        <v>456</v>
      </c>
    </row>
    <row r="111" ht="24" spans="1:8">
      <c r="A111" s="8">
        <v>83</v>
      </c>
      <c r="B111" s="24" t="s">
        <v>212</v>
      </c>
      <c r="C111" s="25" t="s">
        <v>213</v>
      </c>
      <c r="D111" s="13" t="s">
        <v>90</v>
      </c>
      <c r="E111" s="26">
        <v>66.7</v>
      </c>
      <c r="F111" s="26">
        <v>75.2</v>
      </c>
      <c r="G111" s="8" t="s">
        <v>119</v>
      </c>
      <c r="H111" s="27">
        <v>48</v>
      </c>
    </row>
    <row r="112" spans="1:8">
      <c r="A112" s="8">
        <v>84</v>
      </c>
      <c r="B112" s="24" t="s">
        <v>214</v>
      </c>
      <c r="C112" s="25" t="s">
        <v>215</v>
      </c>
      <c r="D112" s="13" t="s">
        <v>90</v>
      </c>
      <c r="E112" s="26">
        <v>46.3</v>
      </c>
      <c r="F112" s="26">
        <v>51.8</v>
      </c>
      <c r="G112" s="8" t="s">
        <v>119</v>
      </c>
      <c r="H112" s="27">
        <v>69</v>
      </c>
    </row>
    <row r="113" spans="1:8">
      <c r="A113" s="8">
        <v>85</v>
      </c>
      <c r="B113" s="24" t="s">
        <v>216</v>
      </c>
      <c r="C113" s="25" t="s">
        <v>217</v>
      </c>
      <c r="D113" s="13" t="s">
        <v>90</v>
      </c>
      <c r="E113" s="26">
        <v>21.4</v>
      </c>
      <c r="F113" s="26">
        <v>23.9</v>
      </c>
      <c r="G113" s="8" t="s">
        <v>97</v>
      </c>
      <c r="H113" s="27">
        <v>151</v>
      </c>
    </row>
    <row r="114" spans="1:8">
      <c r="A114" s="8">
        <v>86</v>
      </c>
      <c r="B114" s="24" t="s">
        <v>218</v>
      </c>
      <c r="C114" s="25" t="s">
        <v>218</v>
      </c>
      <c r="D114" s="13" t="s">
        <v>131</v>
      </c>
      <c r="E114" s="26">
        <v>7.9</v>
      </c>
      <c r="F114" s="26">
        <v>8.8</v>
      </c>
      <c r="G114" s="8" t="s">
        <v>91</v>
      </c>
      <c r="H114" s="27">
        <v>409</v>
      </c>
    </row>
    <row r="115" spans="1:8">
      <c r="A115" s="8">
        <v>87</v>
      </c>
      <c r="B115" s="24" t="s">
        <v>219</v>
      </c>
      <c r="C115" s="25" t="s">
        <v>220</v>
      </c>
      <c r="D115" s="13" t="s">
        <v>90</v>
      </c>
      <c r="E115" s="26">
        <v>19.9</v>
      </c>
      <c r="F115" s="26">
        <v>22</v>
      </c>
      <c r="G115" s="8" t="s">
        <v>91</v>
      </c>
      <c r="H115" s="27">
        <v>164</v>
      </c>
    </row>
    <row r="116" spans="1:8">
      <c r="A116" s="8">
        <v>120</v>
      </c>
      <c r="B116" s="24" t="s">
        <v>221</v>
      </c>
      <c r="C116" s="25" t="s">
        <v>222</v>
      </c>
      <c r="D116" s="13" t="s">
        <v>44</v>
      </c>
      <c r="E116" s="26">
        <v>55.8</v>
      </c>
      <c r="F116" s="26">
        <v>61.6</v>
      </c>
      <c r="G116" s="8" t="s">
        <v>184</v>
      </c>
      <c r="H116" s="27">
        <v>58</v>
      </c>
    </row>
    <row r="117" spans="1:8">
      <c r="A117" s="8"/>
      <c r="B117" s="22" t="s">
        <v>223</v>
      </c>
      <c r="C117" s="23" t="s">
        <v>223</v>
      </c>
      <c r="D117" s="23"/>
      <c r="E117" s="23"/>
      <c r="F117" s="23"/>
      <c r="G117" s="23"/>
      <c r="H117" s="23"/>
    </row>
    <row r="118" customHeight="1" spans="1:8">
      <c r="A118" s="41">
        <v>35</v>
      </c>
      <c r="B118" s="42" t="s">
        <v>224</v>
      </c>
      <c r="C118" s="24" t="s">
        <v>225</v>
      </c>
      <c r="D118" s="36" t="s">
        <v>153</v>
      </c>
      <c r="E118" s="37">
        <v>27.5</v>
      </c>
      <c r="F118" s="37">
        <v>30.4</v>
      </c>
      <c r="G118" s="34" t="s">
        <v>226</v>
      </c>
      <c r="H118" s="38">
        <v>118</v>
      </c>
    </row>
    <row r="119" spans="1:8">
      <c r="A119" s="43"/>
      <c r="B119" s="44"/>
      <c r="C119" s="25" t="s">
        <v>227</v>
      </c>
      <c r="D119" s="13" t="s">
        <v>153</v>
      </c>
      <c r="E119" s="26">
        <v>9.9</v>
      </c>
      <c r="F119" s="26">
        <v>10.9</v>
      </c>
      <c r="G119" s="8" t="s">
        <v>226</v>
      </c>
      <c r="H119" s="27">
        <v>330</v>
      </c>
    </row>
    <row r="120" spans="1:8">
      <c r="A120" s="45"/>
      <c r="B120" s="46"/>
      <c r="C120" s="25" t="s">
        <v>228</v>
      </c>
      <c r="D120" s="13" t="s">
        <v>153</v>
      </c>
      <c r="E120" s="26">
        <v>19.2</v>
      </c>
      <c r="F120" s="26">
        <v>21.9</v>
      </c>
      <c r="G120" s="8" t="s">
        <v>226</v>
      </c>
      <c r="H120" s="27">
        <v>164</v>
      </c>
    </row>
    <row r="121" spans="1:8">
      <c r="A121" s="8">
        <v>92</v>
      </c>
      <c r="B121" s="24" t="s">
        <v>229</v>
      </c>
      <c r="C121" s="25" t="s">
        <v>229</v>
      </c>
      <c r="D121" s="13" t="s">
        <v>44</v>
      </c>
      <c r="E121" s="26">
        <v>23</v>
      </c>
      <c r="F121" s="26">
        <v>25.4</v>
      </c>
      <c r="G121" s="8" t="s">
        <v>33</v>
      </c>
      <c r="H121" s="27">
        <v>142</v>
      </c>
    </row>
    <row r="122" spans="1:8">
      <c r="A122" s="8">
        <v>94</v>
      </c>
      <c r="B122" s="24" t="s">
        <v>230</v>
      </c>
      <c r="C122" s="25" t="s">
        <v>230</v>
      </c>
      <c r="D122" s="13" t="s">
        <v>123</v>
      </c>
      <c r="E122" s="26">
        <v>19.1</v>
      </c>
      <c r="F122" s="26">
        <v>21.2</v>
      </c>
      <c r="G122" s="8" t="s">
        <v>226</v>
      </c>
      <c r="H122" s="27">
        <v>170</v>
      </c>
    </row>
    <row r="123" s="1" customFormat="1" spans="1:8">
      <c r="A123" s="8"/>
      <c r="B123" s="22" t="s">
        <v>231</v>
      </c>
      <c r="C123" s="23" t="s">
        <v>231</v>
      </c>
      <c r="D123" s="23"/>
      <c r="E123" s="23"/>
      <c r="F123" s="23"/>
      <c r="G123" s="23"/>
      <c r="H123" s="23"/>
    </row>
    <row r="124" spans="1:8">
      <c r="A124" s="8">
        <v>126</v>
      </c>
      <c r="B124" s="36" t="s">
        <v>232</v>
      </c>
      <c r="C124" s="23"/>
      <c r="D124" s="23"/>
      <c r="E124" s="23"/>
      <c r="F124" s="23"/>
      <c r="G124" s="23"/>
      <c r="H124" s="23"/>
    </row>
    <row r="125" s="1" customFormat="1" spans="1:8">
      <c r="A125" s="8">
        <v>103</v>
      </c>
      <c r="B125" s="24" t="s">
        <v>233</v>
      </c>
      <c r="C125" s="13" t="s">
        <v>234</v>
      </c>
      <c r="D125" s="13" t="s">
        <v>235</v>
      </c>
      <c r="E125" s="13">
        <v>83</v>
      </c>
      <c r="F125" s="13">
        <v>93.3</v>
      </c>
      <c r="G125" s="13" t="s">
        <v>41</v>
      </c>
      <c r="H125" s="13">
        <v>39</v>
      </c>
    </row>
    <row r="126" spans="1:8">
      <c r="A126" s="8">
        <v>105</v>
      </c>
      <c r="B126" s="24" t="s">
        <v>236</v>
      </c>
      <c r="C126" s="25" t="s">
        <v>237</v>
      </c>
      <c r="D126" s="13" t="s">
        <v>236</v>
      </c>
      <c r="E126" s="26">
        <v>68.4</v>
      </c>
      <c r="F126" s="26">
        <v>75.6</v>
      </c>
      <c r="G126" s="8" t="s">
        <v>226</v>
      </c>
      <c r="H126" s="27">
        <v>48</v>
      </c>
    </row>
    <row r="127" spans="1:8">
      <c r="A127" s="8"/>
      <c r="B127" s="24" t="s">
        <v>238</v>
      </c>
      <c r="C127" s="25" t="s">
        <v>238</v>
      </c>
      <c r="D127" s="13" t="s">
        <v>44</v>
      </c>
      <c r="E127" s="26">
        <v>5.8</v>
      </c>
      <c r="F127" s="26">
        <v>6.4</v>
      </c>
      <c r="G127" s="8" t="s">
        <v>33</v>
      </c>
      <c r="H127" s="27">
        <v>563</v>
      </c>
    </row>
    <row r="128" spans="1:8">
      <c r="A128" s="8"/>
      <c r="B128" s="24" t="s">
        <v>239</v>
      </c>
      <c r="C128" s="25" t="s">
        <v>239</v>
      </c>
      <c r="D128" s="13" t="s">
        <v>44</v>
      </c>
      <c r="E128" s="26">
        <v>2.9</v>
      </c>
      <c r="F128" s="26">
        <v>3.2</v>
      </c>
      <c r="G128" s="8" t="s">
        <v>33</v>
      </c>
      <c r="H128" s="27">
        <v>1125</v>
      </c>
    </row>
    <row r="129" spans="1:8">
      <c r="A129" s="8">
        <v>172</v>
      </c>
      <c r="B129" s="24" t="s">
        <v>240</v>
      </c>
      <c r="C129" s="25" t="s">
        <v>240</v>
      </c>
      <c r="D129" s="13" t="s">
        <v>44</v>
      </c>
      <c r="E129" s="26">
        <v>3.7</v>
      </c>
      <c r="F129" s="26">
        <v>4.1</v>
      </c>
      <c r="G129" s="8" t="s">
        <v>33</v>
      </c>
      <c r="H129" s="27">
        <v>878</v>
      </c>
    </row>
    <row r="130" spans="1:8">
      <c r="A130" s="8">
        <v>171</v>
      </c>
      <c r="B130" s="24" t="s">
        <v>241</v>
      </c>
      <c r="C130" s="25" t="s">
        <v>241</v>
      </c>
      <c r="D130" s="13" t="s">
        <v>44</v>
      </c>
      <c r="E130" s="26">
        <v>7.2</v>
      </c>
      <c r="F130" s="26">
        <v>8</v>
      </c>
      <c r="G130" s="8" t="s">
        <v>33</v>
      </c>
      <c r="H130" s="27">
        <v>450</v>
      </c>
    </row>
    <row r="131" spans="1:8">
      <c r="A131" s="8">
        <v>140</v>
      </c>
      <c r="B131" s="24" t="s">
        <v>242</v>
      </c>
      <c r="C131" s="25" t="s">
        <v>242</v>
      </c>
      <c r="D131" s="13" t="s">
        <v>44</v>
      </c>
      <c r="E131" s="26">
        <v>2.9</v>
      </c>
      <c r="F131" s="26">
        <v>3.2</v>
      </c>
      <c r="G131" s="8" t="s">
        <v>33</v>
      </c>
      <c r="H131" s="27">
        <v>1125</v>
      </c>
    </row>
    <row r="132" spans="1:8">
      <c r="A132" s="8">
        <v>107</v>
      </c>
      <c r="B132" s="24" t="s">
        <v>243</v>
      </c>
      <c r="C132" s="25" t="s">
        <v>244</v>
      </c>
      <c r="D132" s="13" t="s">
        <v>44</v>
      </c>
      <c r="E132" s="26">
        <v>7.1</v>
      </c>
      <c r="F132" s="26">
        <v>7.9</v>
      </c>
      <c r="G132" s="8" t="s">
        <v>33</v>
      </c>
      <c r="H132" s="27">
        <v>456</v>
      </c>
    </row>
    <row r="133" spans="1:8">
      <c r="A133" s="8">
        <v>154</v>
      </c>
      <c r="B133" s="24" t="s">
        <v>245</v>
      </c>
      <c r="C133" s="25" t="s">
        <v>246</v>
      </c>
      <c r="D133" s="13" t="s">
        <v>44</v>
      </c>
      <c r="E133" s="26">
        <v>30.1</v>
      </c>
      <c r="F133" s="26">
        <v>33.2</v>
      </c>
      <c r="G133" s="8" t="s">
        <v>33</v>
      </c>
      <c r="H133" s="27">
        <v>108</v>
      </c>
    </row>
    <row r="134" spans="1:8">
      <c r="A134" s="8">
        <v>122</v>
      </c>
      <c r="B134" s="24" t="s">
        <v>247</v>
      </c>
      <c r="C134" s="25" t="s">
        <v>247</v>
      </c>
      <c r="D134" s="13" t="s">
        <v>44</v>
      </c>
      <c r="E134" s="26">
        <v>12.9</v>
      </c>
      <c r="F134" s="26">
        <v>14.2</v>
      </c>
      <c r="G134" s="8" t="s">
        <v>33</v>
      </c>
      <c r="H134" s="27">
        <v>254</v>
      </c>
    </row>
    <row r="135" spans="1:8">
      <c r="A135" s="8">
        <v>123</v>
      </c>
      <c r="B135" s="24" t="s">
        <v>248</v>
      </c>
      <c r="C135" s="25" t="s">
        <v>248</v>
      </c>
      <c r="D135" s="13" t="s">
        <v>44</v>
      </c>
      <c r="E135" s="26">
        <v>10.9</v>
      </c>
      <c r="F135" s="26">
        <v>12.1</v>
      </c>
      <c r="G135" s="8" t="s">
        <v>33</v>
      </c>
      <c r="H135" s="27">
        <v>298</v>
      </c>
    </row>
    <row r="136" spans="1:8">
      <c r="A136" s="8">
        <v>40</v>
      </c>
      <c r="B136" s="24" t="s">
        <v>249</v>
      </c>
      <c r="C136" s="25" t="s">
        <v>249</v>
      </c>
      <c r="D136" s="13" t="s">
        <v>44</v>
      </c>
      <c r="E136" s="26">
        <v>10.1</v>
      </c>
      <c r="F136" s="26">
        <v>11.1</v>
      </c>
      <c r="G136" s="8" t="s">
        <v>33</v>
      </c>
      <c r="H136" s="27">
        <v>324</v>
      </c>
    </row>
    <row r="137" spans="1:8">
      <c r="A137" s="8"/>
      <c r="B137" s="24" t="s">
        <v>250</v>
      </c>
      <c r="C137" s="25" t="s">
        <v>250</v>
      </c>
      <c r="D137" s="13" t="s">
        <v>44</v>
      </c>
      <c r="E137" s="26">
        <v>3.7</v>
      </c>
      <c r="F137" s="26">
        <v>4.1</v>
      </c>
      <c r="G137" s="8" t="s">
        <v>33</v>
      </c>
      <c r="H137" s="27">
        <v>878</v>
      </c>
    </row>
    <row r="138" spans="1:8">
      <c r="A138" s="8">
        <v>102</v>
      </c>
      <c r="B138" s="24" t="s">
        <v>251</v>
      </c>
      <c r="C138" s="25" t="s">
        <v>251</v>
      </c>
      <c r="D138" s="13" t="s">
        <v>44</v>
      </c>
      <c r="E138" s="26">
        <v>3.8</v>
      </c>
      <c r="F138" s="26">
        <v>4.2</v>
      </c>
      <c r="G138" s="8" t="s">
        <v>33</v>
      </c>
      <c r="H138" s="27">
        <v>857</v>
      </c>
    </row>
    <row r="139" spans="1:8">
      <c r="A139" s="8">
        <v>152</v>
      </c>
      <c r="B139" s="24" t="s">
        <v>252</v>
      </c>
      <c r="C139" s="25" t="s">
        <v>252</v>
      </c>
      <c r="D139" s="13" t="s">
        <v>44</v>
      </c>
      <c r="E139" s="26">
        <v>1.4</v>
      </c>
      <c r="F139" s="26">
        <v>1.6</v>
      </c>
      <c r="G139" s="8" t="s">
        <v>33</v>
      </c>
      <c r="H139" s="27">
        <v>2250</v>
      </c>
    </row>
    <row r="140" spans="1:8">
      <c r="A140" s="8">
        <v>169</v>
      </c>
      <c r="B140" s="24" t="s">
        <v>253</v>
      </c>
      <c r="C140" s="25" t="s">
        <v>253</v>
      </c>
      <c r="D140" s="13" t="s">
        <v>44</v>
      </c>
      <c r="E140" s="26">
        <v>1</v>
      </c>
      <c r="F140" s="26">
        <v>1.1</v>
      </c>
      <c r="G140" s="8" t="s">
        <v>33</v>
      </c>
      <c r="H140" s="27">
        <v>3273</v>
      </c>
    </row>
    <row r="141" ht="24" spans="1:8">
      <c r="A141" s="8">
        <v>131</v>
      </c>
      <c r="B141" s="24" t="s">
        <v>254</v>
      </c>
      <c r="C141" s="25" t="s">
        <v>255</v>
      </c>
      <c r="D141" s="13" t="s">
        <v>44</v>
      </c>
      <c r="E141" s="26">
        <v>13.4</v>
      </c>
      <c r="F141" s="26">
        <v>14.8</v>
      </c>
      <c r="G141" s="8" t="s">
        <v>33</v>
      </c>
      <c r="H141" s="27">
        <v>243</v>
      </c>
    </row>
    <row r="142" ht="13" customHeight="1" spans="1:8">
      <c r="A142" s="8">
        <v>124</v>
      </c>
      <c r="B142" s="24" t="s">
        <v>256</v>
      </c>
      <c r="C142" s="25" t="s">
        <v>257</v>
      </c>
      <c r="D142" s="13" t="s">
        <v>44</v>
      </c>
      <c r="E142" s="26">
        <v>11.4</v>
      </c>
      <c r="F142" s="26">
        <v>12.6</v>
      </c>
      <c r="G142" s="8" t="s">
        <v>33</v>
      </c>
      <c r="H142" s="27">
        <v>285</v>
      </c>
    </row>
    <row r="143" ht="13" customHeight="1" spans="1:8">
      <c r="A143" s="8">
        <v>121</v>
      </c>
      <c r="B143" s="24" t="s">
        <v>258</v>
      </c>
      <c r="C143" s="25" t="s">
        <v>259</v>
      </c>
      <c r="D143" s="13" t="s">
        <v>44</v>
      </c>
      <c r="E143" s="26">
        <v>12.3</v>
      </c>
      <c r="F143" s="26">
        <v>13.6</v>
      </c>
      <c r="G143" s="8" t="s">
        <v>33</v>
      </c>
      <c r="H143" s="27">
        <v>265</v>
      </c>
    </row>
    <row r="144" ht="24" spans="1:8">
      <c r="A144" s="8">
        <v>132</v>
      </c>
      <c r="B144" s="24" t="s">
        <v>260</v>
      </c>
      <c r="C144" s="25" t="s">
        <v>261</v>
      </c>
      <c r="D144" s="13" t="s">
        <v>44</v>
      </c>
      <c r="E144" s="26">
        <v>9.1</v>
      </c>
      <c r="F144" s="26">
        <v>10</v>
      </c>
      <c r="G144" s="8" t="s">
        <v>33</v>
      </c>
      <c r="H144" s="27">
        <v>360</v>
      </c>
    </row>
    <row r="145" spans="1:8">
      <c r="A145" s="8">
        <v>160</v>
      </c>
      <c r="B145" s="24" t="s">
        <v>262</v>
      </c>
      <c r="C145" s="13" t="s">
        <v>262</v>
      </c>
      <c r="D145" s="13" t="s">
        <v>44</v>
      </c>
      <c r="E145" s="13">
        <v>28.8</v>
      </c>
      <c r="F145" s="13">
        <v>31.8</v>
      </c>
      <c r="G145" s="13" t="s">
        <v>33</v>
      </c>
      <c r="H145" s="13">
        <v>113</v>
      </c>
    </row>
    <row r="146" spans="1:8">
      <c r="A146" s="8">
        <v>173</v>
      </c>
      <c r="B146" s="24" t="s">
        <v>263</v>
      </c>
      <c r="C146" s="13"/>
      <c r="D146" s="13"/>
      <c r="E146" s="13"/>
      <c r="F146" s="13"/>
      <c r="G146" s="13"/>
      <c r="H146" s="13"/>
    </row>
    <row r="147" spans="1:8">
      <c r="A147" s="8">
        <v>174</v>
      </c>
      <c r="B147" s="36" t="s">
        <v>264</v>
      </c>
      <c r="C147" s="13"/>
      <c r="D147" s="13"/>
      <c r="E147" s="13"/>
      <c r="F147" s="13"/>
      <c r="G147" s="13"/>
      <c r="H147" s="13"/>
    </row>
    <row r="149" spans="1:2">
      <c r="A149" s="47" t="s">
        <v>265</v>
      </c>
      <c r="B149" s="48"/>
    </row>
  </sheetData>
  <mergeCells count="22">
    <mergeCell ref="A1:H1"/>
    <mergeCell ref="A2:H2"/>
    <mergeCell ref="A3:H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118:A120"/>
    <mergeCell ref="B118:B120"/>
    <mergeCell ref="F4:H19"/>
  </mergeCells>
  <conditionalFormatting sqref="A1:A118 A121:A1048576">
    <cfRule type="duplicateValues" dxfId="0" priority="1"/>
  </conditionalFormatting>
  <printOptions horizontalCentered="1"/>
  <pageMargins left="0.0784722222222222" right="0.0784722222222222" top="0.0388888888888889" bottom="0.0388888888888889" header="0.0388888888888889" footer="0.0388888888888889"/>
  <pageSetup paperSize="9" scale="81" orientation="portrait" horizontalDpi="600"/>
  <headerFooter>
    <oddFooter>&amp;R&amp;D &amp;T</oddFooter>
  </headerFooter>
  <colBreaks count="1" manualBreakCount="1">
    <brk id="8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71G0002</vt:lpstr>
      <vt:lpstr>71G0002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2023-01-10T00:41:00Z</dcterms:created>
  <dcterms:modified xsi:type="dcterms:W3CDTF">2025-08-01T05:26:06Z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214D81967F794651BB9027268C3BB209_13</vt:lpwstr>
  </property>
  <property fmtid="{D5CDD505-2E9C-101B-9397-08002B2CF9AE}" pid="3" name="KSOProductBuildVer">
    <vt:lpwstr>2052-12.1.0.21915</vt:lpwstr>
  </property>
</Properties>
</file>