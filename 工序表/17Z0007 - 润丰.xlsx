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7Z0007" sheetId="1" r:id="rId1"/>
  </sheets>
  <definedNames>
    <definedName name="_xlnm.Print_Titles" localSheetId="0">'17Z0007'!$1:$11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<sst xmlns="http://schemas.openxmlformats.org/spreadsheetml/2006/main" count="330" uniqueCount="157">
  <si>
    <t>重庆尚上服饰有限公司</t>
  </si>
  <si>
    <t>款式工序表</t>
  </si>
  <si>
    <t>打印日期：2025-06-24 08:30:32</t>
  </si>
  <si>
    <t>生产制单号：</t>
  </si>
  <si>
    <t>==</t>
  </si>
  <si>
    <t>客　　户：</t>
  </si>
  <si>
    <t>上海润昌</t>
  </si>
  <si>
    <t>客户款号：</t>
  </si>
  <si>
    <t>17Z0007</t>
  </si>
  <si>
    <t>款式描述：</t>
  </si>
  <si>
    <t>10Z0008(17Z0007子单)童装梭织长裤（双层裤子，本身腰头反折包橡筋、斜插袋、侧风琴袋）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</si>
  <si>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</si>
  <si>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</si>
  <si>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</si>
  <si>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</si>
  <si>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</si>
  <si>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</si>
  <si>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</si>
  <si>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</si>
  <si>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</si>
  <si>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</si>
  <si>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</si>
  <si>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</si>
  <si>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</si>
  <si>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润丰工序名称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</si>
  <si>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</si>
  <si>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</si>
  <si>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</si>
  <si>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</si>
  <si>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</si>
  <si>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</si>
  <si>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</si>
  <si>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</t>
  </si>
  <si>
    <t>松布机松面布*0.7</t>
  </si>
  <si>
    <t>松布机</t>
  </si>
  <si>
    <t>E2</t>
  </si>
  <si>
    <t>拉面布</t>
  </si>
  <si>
    <t>拉布机拉面布*0.7</t>
  </si>
  <si>
    <t>拉布机</t>
  </si>
  <si>
    <t>E3</t>
  </si>
  <si>
    <t>裁面布</t>
  </si>
  <si>
    <t>电脑裁剪面布*16</t>
  </si>
  <si>
    <t>电脑裁床</t>
  </si>
  <si>
    <t>D4</t>
  </si>
  <si>
    <t>面布分包</t>
  </si>
  <si>
    <t>面布分包*16（大包）</t>
  </si>
  <si>
    <t>手工</t>
  </si>
  <si>
    <t>验片/配片</t>
  </si>
  <si>
    <t>手工面布验片*4</t>
  </si>
  <si>
    <t>打编号</t>
  </si>
  <si>
    <t>手工打编号*10</t>
  </si>
  <si>
    <t>松里布</t>
  </si>
  <si>
    <t>松布机松里布*0.55</t>
  </si>
  <si>
    <t>拉里布</t>
  </si>
  <si>
    <t>拉布机拉里布*0.55</t>
  </si>
  <si>
    <t>裁里布</t>
  </si>
  <si>
    <t>电脑裁剪里布*4</t>
  </si>
  <si>
    <t>电脑裁剪</t>
  </si>
  <si>
    <t>里布分包</t>
  </si>
  <si>
    <t>里布分包*4(大包）</t>
  </si>
  <si>
    <t>拉衬布</t>
  </si>
  <si>
    <t>拉布机衬*0.02（袋盖、直眼衬）</t>
  </si>
  <si>
    <t>裁衬布</t>
  </si>
  <si>
    <t>电脑裁剪衬*5（袋盖、直眼衬）</t>
  </si>
  <si>
    <t>衬布分包</t>
  </si>
  <si>
    <t>手工衬分包*4 （大包）  直眼衬不分包</t>
  </si>
  <si>
    <t>中烫烫腰头直眼衬*2</t>
  </si>
  <si>
    <t>中烫（气烫）</t>
  </si>
  <si>
    <t>中烫前袋口衬*2</t>
  </si>
  <si>
    <t>中烫侧袋口衬*2</t>
  </si>
  <si>
    <t>粘布机烫袋盖衬*2</t>
  </si>
  <si>
    <t>粘朴机</t>
  </si>
  <si>
    <t>烫标机烫里布尺码标/撕标*1</t>
  </si>
  <si>
    <t>压烫机</t>
  </si>
  <si>
    <t>烫标机烫肶袋标/斯标*1</t>
  </si>
  <si>
    <t>下裁片</t>
  </si>
  <si>
    <t>2-里布</t>
  </si>
  <si>
    <t>四线合里布前浪*1</t>
  </si>
  <si>
    <t>电脑四线锁边车</t>
  </si>
  <si>
    <t>C1</t>
  </si>
  <si>
    <t>四线合里布后浪*1</t>
  </si>
  <si>
    <t>四线合里布侧缝*2</t>
  </si>
  <si>
    <t>C3</t>
  </si>
  <si>
    <t>四线对位合里布底浪连放定位条*1</t>
  </si>
  <si>
    <t>中烫里布（整件）倒缝</t>
  </si>
  <si>
    <t>D3</t>
  </si>
  <si>
    <t>3-腰头</t>
  </si>
  <si>
    <t>蒸箱蒸弹力线（个）</t>
  </si>
  <si>
    <t>蒸箱</t>
  </si>
  <si>
    <t>E1</t>
  </si>
  <si>
    <t>蒸腰头橡筋/米</t>
  </si>
  <si>
    <t>手工量剪腰头橡筋*1</t>
  </si>
  <si>
    <t>平车拼接腰头橡筋连开缝压明线*1</t>
  </si>
  <si>
    <t>电脑平车</t>
  </si>
  <si>
    <t>C2</t>
  </si>
  <si>
    <t>手工点腰头橡筋位*3</t>
  </si>
  <si>
    <t>4-小部件</t>
  </si>
  <si>
    <t>蒸脚口橡筋/米</t>
  </si>
  <si>
    <t>量剪脚口橡筋*1</t>
  </si>
  <si>
    <t>平车合脚口橡筋*2</t>
  </si>
  <si>
    <t>D1</t>
  </si>
  <si>
    <t>自动模板运侧袋盖连激光止口*2（一个模板6件 不含机器时间 ）</t>
  </si>
  <si>
    <t>全自动激光模板机</t>
  </si>
  <si>
    <t>手工翻侧袋盖*2</t>
  </si>
  <si>
    <t>平车压侧袋盖明线*2</t>
  </si>
  <si>
    <t>C4</t>
  </si>
  <si>
    <t>实样刀车带线车袋盖净样线*2</t>
  </si>
  <si>
    <t>电脑单针切刀车</t>
  </si>
  <si>
    <t>平车收侧袋口折位*2（对剪口）</t>
  </si>
  <si>
    <t>中烫侧袋省位*2</t>
  </si>
  <si>
    <t>平车还口车前袋口宽明线*2（车台定位）</t>
  </si>
  <si>
    <t>实样折烫肶袋三边*2</t>
  </si>
  <si>
    <t>实样折烫风琴袋条两边止口*2</t>
  </si>
  <si>
    <t>平车转角活落风琴袋三边*2（两端折叠）</t>
  </si>
  <si>
    <t>B1</t>
  </si>
  <si>
    <t>5-前片</t>
  </si>
  <si>
    <t>平眼车半成品开腰头直眼*2（车台定位）</t>
  </si>
  <si>
    <t>电脑单头平眼车</t>
  </si>
  <si>
    <t>E4</t>
  </si>
  <si>
    <t>四线合前袋布*2</t>
  </si>
  <si>
    <t>平车落前袋口暗线*2</t>
  </si>
  <si>
    <t>平车翻压前袋口明线*2</t>
  </si>
  <si>
    <t>平车落前袋布重线固定前袋口上明线连侧缝*2（车台定位）</t>
  </si>
  <si>
    <t>平车固定袋布于上腰口*2（针脚调稀）</t>
  </si>
  <si>
    <t>6-组合</t>
  </si>
  <si>
    <t>挂片</t>
  </si>
  <si>
    <t>挂片/配片</t>
  </si>
  <si>
    <t>组检成品</t>
  </si>
  <si>
    <t>四线合侧缝*2</t>
  </si>
  <si>
    <t>手工点侧袋盖位连袋位2*7</t>
  </si>
  <si>
    <t>平车转角贴侧袋三边连固定袋口两端*2</t>
  </si>
  <si>
    <t>B3</t>
  </si>
  <si>
    <t>平车落侧袋盖暗线连压袋盖线*2</t>
  </si>
  <si>
    <t>四线对位合前浪*1 （注意平眼位）</t>
  </si>
  <si>
    <t>四线合后浪*1</t>
  </si>
  <si>
    <t>四线对位合底浪*1</t>
  </si>
  <si>
    <t>中烫面布（整件）倒缝</t>
  </si>
  <si>
    <t>单针冚车活落橡筋于腰顶一周（上架）</t>
  </si>
  <si>
    <t>电脑单针双线冚车</t>
  </si>
  <si>
    <t>B4</t>
  </si>
  <si>
    <t>平车固定橡筋于里腰前后及两侧*4*1</t>
  </si>
  <si>
    <t>平车折订洗标于后中*1</t>
  </si>
  <si>
    <t>多针橡筋车上架折冚腰头线*1（三条）已固定</t>
  </si>
  <si>
    <t>多针橡筋车</t>
  </si>
  <si>
    <t>平车订面里订位条*1</t>
  </si>
  <si>
    <t>平车固定脚口橡筋*2</t>
  </si>
  <si>
    <t>#套翻面里裤*1</t>
  </si>
  <si>
    <t>#四线对位合面里脚口*2</t>
  </si>
  <si>
    <t>平车折压脚口明线*2</t>
  </si>
  <si>
    <t>B2</t>
  </si>
  <si>
    <t>手工翻裤子*1</t>
  </si>
  <si>
    <t>手工拆腰头前后及两侧固定线*4*1</t>
  </si>
  <si>
    <t>穿腰绳*1及比好长短</t>
  </si>
  <si>
    <t>平车固定后中腰绳*1</t>
  </si>
  <si>
    <t>中查</t>
  </si>
  <si>
    <t>检验</t>
  </si>
  <si>
    <t>制表人：钱玲燕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</si>
</sst>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7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177" fontId="2" fillId="0" borderId="1" xfId="0" applyNumberFormat="1" applyFont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78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25400</xdr:colOff>
      <xdr:row>7</xdr:row>
      <xdr:rowOff>31750</xdr:rowOff>
    </xdr:from>
    <xdr:to>
      <xdr:col>8</xdr:col>
      <xdr:colOff>593725</xdr:colOff>
      <xdr:row>16</xdr:row>
      <xdr:rowOff>26035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4150" y="1527175"/>
          <a:ext cx="2035175" cy="1518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1"/>
  <sheetViews>
    <sheetView tabSelected="1" topLeftCell="A8" workbookViewId="0">
      <selection activeCell="B10" sqref="B10:F10"/>
    </sheetView>
  </sheetViews>
  <sheetFormatPr defaultColWidth="9" defaultRowHeight="12"/>
  <cols>
    <col min="1" max="1" width="9.625" style="1" customWidth="1"/>
    <col min="2" max="2" width="20" style="2" customWidth="1"/>
    <col min="3" max="3" width="5.875" style="2" hidden="1" customWidth="1"/>
    <col min="4" max="4" width="18.25" style="2" customWidth="1"/>
    <col min="5" max="5" width="12.25" style="2" customWidth="1"/>
    <col min="6" max="6" width="8.625" style="2" customWidth="1"/>
    <col min="7" max="7" width="9.625" style="3" customWidth="1"/>
    <col min="8" max="9" width="9.625" style="2" customWidth="1"/>
    <col min="10" max="99" width="9" style="2"/>
    <col min="100" max="100" width="59.625" style="2" customWidth="1"/>
    <col min="101" max="16384" width="9" style="2"/>
  </cols>
  <sheetData>
    <row r="1" ht="25.5" spans="1:9">
      <c r="A1" s="4" t="s">
        <v>0</v>
      </c>
      <c r="B1" s="5"/>
      <c r="C1" s="5"/>
      <c r="D1" s="5"/>
      <c r="E1" s="5"/>
      <c r="F1" s="5"/>
      <c r="G1" s="6"/>
      <c r="H1" s="5"/>
      <c r="I1" s="5"/>
    </row>
    <row r="2" ht="20.25" spans="1:9">
      <c r="A2" s="7" t="s">
        <v>1</v>
      </c>
      <c r="B2" s="8"/>
      <c r="C2" s="8"/>
      <c r="D2" s="8"/>
      <c r="E2" s="8"/>
      <c r="F2" s="8"/>
      <c r="G2" s="9"/>
      <c r="H2" s="8"/>
      <c r="I2" s="8"/>
    </row>
    <row r="3" spans="1:9">
      <c r="A3" s="10" t="s">
        <v>2</v>
      </c>
      <c r="B3" s="11"/>
      <c r="C3" s="11"/>
      <c r="D3" s="11"/>
      <c r="E3" s="11"/>
      <c r="F3" s="11"/>
      <c r="G3" s="12"/>
      <c r="H3" s="11"/>
      <c r="I3" s="11"/>
    </row>
    <row r="4" spans="1:9">
      <c r="A4" s="13" t="s">
        <v>3</v>
      </c>
      <c r="B4" s="14" t="s">
        <v>4</v>
      </c>
      <c r="C4" s="14"/>
      <c r="D4" s="14"/>
      <c r="E4" s="14"/>
      <c r="F4" s="14"/>
      <c r="G4" s="15"/>
      <c r="H4" s="16"/>
      <c r="I4" s="16"/>
    </row>
    <row r="5" spans="1:9">
      <c r="A5" s="13" t="s">
        <v>5</v>
      </c>
      <c r="B5" s="11" t="s">
        <v>6</v>
      </c>
      <c r="C5" s="11"/>
      <c r="D5" s="11"/>
      <c r="E5" s="11"/>
      <c r="F5" s="11"/>
      <c r="G5" s="15"/>
      <c r="H5" s="16"/>
      <c r="I5" s="16"/>
    </row>
    <row r="6" spans="1:9">
      <c r="A6" s="13" t="s">
        <v>7</v>
      </c>
      <c r="B6" s="14" t="s">
        <v>8</v>
      </c>
      <c r="C6" s="14"/>
      <c r="D6" s="14"/>
      <c r="E6" s="14"/>
      <c r="F6" s="14"/>
      <c r="G6" s="15"/>
      <c r="H6" s="16"/>
      <c r="I6" s="16"/>
    </row>
    <row r="7" ht="24" customHeight="1" spans="1:100">
      <c r="A7" s="13" t="s">
        <v>9</v>
      </c>
      <c r="B7" s="17" t="s">
        <v>10</v>
      </c>
      <c r="C7" s="17"/>
      <c r="D7" s="17"/>
      <c r="E7" s="17"/>
      <c r="F7" s="17"/>
      <c r="G7" s="15"/>
      <c r="H7" s="16"/>
      <c r="I7" s="16"/>
      <c r="CV7" s="36"/>
    </row>
    <row r="8" customHeight="1" spans="1:100">
      <c r="A8" s="13" t="s">
        <v>11</v>
      </c>
      <c r="B8" s="17"/>
      <c r="C8" s="17"/>
      <c r="D8" s="17"/>
      <c r="E8" s="17"/>
      <c r="F8" s="17"/>
      <c r="G8" s="15"/>
      <c r="H8" s="16"/>
      <c r="I8" s="16"/>
      <c r="CV8" s="36"/>
    </row>
    <row r="9" spans="1:9">
      <c r="A9" s="13" t="s">
        <v>12</v>
      </c>
      <c r="B9" s="11">
        <v>19584</v>
      </c>
      <c r="C9" s="11"/>
      <c r="D9" s="11"/>
      <c r="E9" s="11"/>
      <c r="F9" s="11"/>
      <c r="G9" s="15"/>
      <c r="H9" s="16"/>
      <c r="I9" s="16"/>
    </row>
    <row r="10" spans="1:9">
      <c r="A10" s="18" t="s">
        <v>13</v>
      </c>
      <c r="B10" s="11">
        <f>SUM(G43:G47,G49:G53,G55:G67,G69:G74,G77:G97)-G63-G47-G84</f>
        <v>1149.7</v>
      </c>
      <c r="C10" s="11"/>
      <c r="D10" s="11"/>
      <c r="E10" s="11"/>
      <c r="F10" s="11"/>
      <c r="G10" s="15"/>
      <c r="H10" s="16"/>
      <c r="I10" s="16"/>
    </row>
    <row r="11" ht="24" spans="1:9">
      <c r="A11" s="18" t="s">
        <v>14</v>
      </c>
      <c r="B11" s="19">
        <f>10.5*60*60/B10</f>
        <v>32.8781421240324</v>
      </c>
      <c r="C11" s="19"/>
      <c r="D11" s="19"/>
      <c r="E11" s="19"/>
      <c r="F11" s="19"/>
      <c r="G11" s="15"/>
      <c r="H11" s="16"/>
      <c r="I11" s="16"/>
    </row>
    <row r="12" spans="1:9">
      <c r="A12" s="13" t="s">
        <v>15</v>
      </c>
      <c r="B12" s="11"/>
      <c r="C12" s="11"/>
      <c r="D12" s="11"/>
      <c r="E12" s="11"/>
      <c r="F12" s="11"/>
      <c r="G12" s="15"/>
      <c r="H12" s="16"/>
      <c r="I12" s="16"/>
    </row>
    <row r="13" spans="1:9">
      <c r="A13" s="13" t="s">
        <v>16</v>
      </c>
      <c r="B13" s="20"/>
      <c r="C13" s="20"/>
      <c r="D13" s="20"/>
      <c r="E13" s="20"/>
      <c r="F13" s="20"/>
      <c r="G13" s="15"/>
      <c r="H13" s="16"/>
      <c r="I13" s="16"/>
    </row>
    <row r="14" spans="1:9">
      <c r="A14" s="18" t="s">
        <v>17</v>
      </c>
      <c r="B14" s="11"/>
      <c r="C14" s="11"/>
      <c r="D14" s="11"/>
      <c r="E14" s="11"/>
      <c r="F14" s="11"/>
      <c r="G14" s="15"/>
      <c r="H14" s="16"/>
      <c r="I14" s="16"/>
    </row>
    <row r="15" spans="1:9">
      <c r="A15" s="18" t="s">
        <v>18</v>
      </c>
      <c r="B15" s="11"/>
      <c r="C15" s="11"/>
      <c r="D15" s="11"/>
      <c r="E15" s="11"/>
      <c r="F15" s="11"/>
      <c r="G15" s="15"/>
      <c r="H15" s="16"/>
      <c r="I15" s="16"/>
    </row>
    <row r="16" spans="1:9">
      <c r="A16" s="18" t="s">
        <v>19</v>
      </c>
      <c r="B16" s="11"/>
      <c r="C16" s="11"/>
      <c r="D16" s="11"/>
      <c r="E16" s="11"/>
      <c r="F16" s="11"/>
      <c r="G16" s="15"/>
      <c r="H16" s="16"/>
      <c r="I16" s="16"/>
    </row>
    <row r="17" spans="1:9">
      <c r="A17" s="18" t="s">
        <v>20</v>
      </c>
      <c r="B17" s="11"/>
      <c r="C17" s="11"/>
      <c r="D17" s="11"/>
      <c r="E17" s="11"/>
      <c r="F17" s="11"/>
      <c r="G17" s="15"/>
      <c r="H17" s="16"/>
      <c r="I17" s="16"/>
    </row>
    <row r="18" customHeight="1" spans="1:100">
      <c r="A18" s="13" t="s">
        <v>21</v>
      </c>
      <c r="B18" s="17"/>
      <c r="C18" s="17"/>
      <c r="D18" s="17"/>
      <c r="E18" s="17"/>
      <c r="F18" s="17"/>
      <c r="G18" s="15"/>
      <c r="H18" s="16"/>
      <c r="I18" s="16"/>
      <c r="CV18" s="36"/>
    </row>
    <row r="19" spans="1:9">
      <c r="A19" s="13" t="s">
        <v>22</v>
      </c>
      <c r="B19" s="11"/>
      <c r="C19" s="11"/>
      <c r="D19" s="11"/>
      <c r="E19" s="11"/>
      <c r="F19" s="11"/>
      <c r="G19" s="15"/>
      <c r="H19" s="16"/>
      <c r="I19" s="16"/>
    </row>
    <row r="20" spans="1:9">
      <c r="A20" s="21" t="s">
        <v>23</v>
      </c>
      <c r="B20" s="22" t="s">
        <v>24</v>
      </c>
      <c r="C20" s="22" t="s">
        <v>23</v>
      </c>
      <c r="D20" s="22" t="s">
        <v>25</v>
      </c>
      <c r="E20" s="22" t="s">
        <v>26</v>
      </c>
      <c r="F20" s="22" t="s">
        <v>27</v>
      </c>
      <c r="G20" s="22" t="s">
        <v>28</v>
      </c>
      <c r="H20" s="22" t="s">
        <v>29</v>
      </c>
      <c r="I20" s="22" t="s">
        <v>30</v>
      </c>
    </row>
    <row r="21" spans="1:9">
      <c r="A21" s="23"/>
      <c r="B21" s="24" t="s">
        <v>31</v>
      </c>
      <c r="C21" s="25"/>
      <c r="D21" s="24" t="s">
        <v>31</v>
      </c>
      <c r="E21" s="24"/>
      <c r="F21" s="24"/>
      <c r="G21" s="26"/>
      <c r="H21" s="24"/>
      <c r="I21" s="24"/>
    </row>
    <row r="22" spans="1:9">
      <c r="A22" s="27">
        <v>1</v>
      </c>
      <c r="B22" s="28" t="s">
        <v>32</v>
      </c>
      <c r="C22" s="29">
        <v>1</v>
      </c>
      <c r="D22" s="30" t="s">
        <v>33</v>
      </c>
      <c r="E22" s="30" t="s">
        <v>34</v>
      </c>
      <c r="F22" s="31">
        <v>3.1</v>
      </c>
      <c r="G22" s="32">
        <v>3.5</v>
      </c>
      <c r="H22" s="29" t="s">
        <v>35</v>
      </c>
      <c r="I22" s="35">
        <v>1029</v>
      </c>
    </row>
    <row r="23" spans="1:9">
      <c r="A23" s="27">
        <v>155</v>
      </c>
      <c r="B23" s="28" t="s">
        <v>36</v>
      </c>
      <c r="C23" s="29">
        <v>2</v>
      </c>
      <c r="D23" s="30" t="s">
        <v>37</v>
      </c>
      <c r="E23" s="30" t="s">
        <v>38</v>
      </c>
      <c r="F23" s="31">
        <v>9.4</v>
      </c>
      <c r="G23" s="32">
        <v>10.6</v>
      </c>
      <c r="H23" s="29" t="s">
        <v>39</v>
      </c>
      <c r="I23" s="35">
        <v>340</v>
      </c>
    </row>
    <row r="24" spans="1:9">
      <c r="A24" s="27">
        <v>2</v>
      </c>
      <c r="B24" s="28" t="s">
        <v>40</v>
      </c>
      <c r="C24" s="29">
        <v>3</v>
      </c>
      <c r="D24" s="30" t="s">
        <v>41</v>
      </c>
      <c r="E24" s="30" t="s">
        <v>42</v>
      </c>
      <c r="F24" s="31">
        <v>15</v>
      </c>
      <c r="G24" s="32">
        <v>16.6</v>
      </c>
      <c r="H24" s="29" t="s">
        <v>43</v>
      </c>
      <c r="I24" s="35">
        <v>217</v>
      </c>
    </row>
    <row r="25" spans="1:9">
      <c r="A25" s="27">
        <v>5</v>
      </c>
      <c r="B25" s="28" t="s">
        <v>44</v>
      </c>
      <c r="C25" s="29">
        <v>4</v>
      </c>
      <c r="D25" s="30" t="s">
        <v>45</v>
      </c>
      <c r="E25" s="30" t="s">
        <v>46</v>
      </c>
      <c r="F25" s="31">
        <v>13.7</v>
      </c>
      <c r="G25" s="32">
        <v>15.2</v>
      </c>
      <c r="H25" s="29" t="s">
        <v>35</v>
      </c>
      <c r="I25" s="35">
        <v>237</v>
      </c>
    </row>
    <row r="26" spans="1:9">
      <c r="A26" s="27">
        <v>170</v>
      </c>
      <c r="B26" s="28" t="s">
        <v>47</v>
      </c>
      <c r="C26" s="29">
        <v>5</v>
      </c>
      <c r="D26" s="30" t="s">
        <v>48</v>
      </c>
      <c r="E26" s="30" t="s">
        <v>46</v>
      </c>
      <c r="F26" s="31">
        <v>9.1</v>
      </c>
      <c r="G26" s="32">
        <v>10.1</v>
      </c>
      <c r="H26" s="29" t="s">
        <v>39</v>
      </c>
      <c r="I26" s="35">
        <v>356</v>
      </c>
    </row>
    <row r="27" spans="1:9">
      <c r="A27" s="27">
        <v>16</v>
      </c>
      <c r="B27" s="28" t="s">
        <v>49</v>
      </c>
      <c r="C27" s="29">
        <v>6</v>
      </c>
      <c r="D27" s="30" t="s">
        <v>50</v>
      </c>
      <c r="E27" s="30" t="s">
        <v>46</v>
      </c>
      <c r="F27" s="31">
        <v>14.3</v>
      </c>
      <c r="G27" s="32">
        <v>15.8</v>
      </c>
      <c r="H27" s="29" t="s">
        <v>35</v>
      </c>
      <c r="I27" s="35">
        <v>228</v>
      </c>
    </row>
    <row r="28" spans="1:9">
      <c r="A28" s="27">
        <v>3</v>
      </c>
      <c r="B28" s="28" t="s">
        <v>51</v>
      </c>
      <c r="C28" s="29">
        <v>7</v>
      </c>
      <c r="D28" s="30" t="s">
        <v>52</v>
      </c>
      <c r="E28" s="30" t="s">
        <v>34</v>
      </c>
      <c r="F28" s="31">
        <v>2.5</v>
      </c>
      <c r="G28" s="32">
        <v>2.8</v>
      </c>
      <c r="H28" s="29" t="s">
        <v>35</v>
      </c>
      <c r="I28" s="35">
        <v>1286</v>
      </c>
    </row>
    <row r="29" spans="1:9">
      <c r="A29" s="27">
        <v>4</v>
      </c>
      <c r="B29" s="28" t="s">
        <v>53</v>
      </c>
      <c r="C29" s="29">
        <v>8</v>
      </c>
      <c r="D29" s="30" t="s">
        <v>54</v>
      </c>
      <c r="E29" s="30" t="s">
        <v>38</v>
      </c>
      <c r="F29" s="31">
        <v>7.7</v>
      </c>
      <c r="G29" s="32">
        <v>8.7</v>
      </c>
      <c r="H29" s="29" t="s">
        <v>39</v>
      </c>
      <c r="I29" s="35">
        <v>414</v>
      </c>
    </row>
    <row r="30" spans="1:9">
      <c r="A30" s="27">
        <v>9</v>
      </c>
      <c r="B30" s="28" t="s">
        <v>55</v>
      </c>
      <c r="C30" s="29">
        <v>9</v>
      </c>
      <c r="D30" s="30" t="s">
        <v>56</v>
      </c>
      <c r="E30" s="30" t="s">
        <v>57</v>
      </c>
      <c r="F30" s="31">
        <v>4.1</v>
      </c>
      <c r="G30" s="32">
        <v>4.1</v>
      </c>
      <c r="H30" s="29" t="s">
        <v>43</v>
      </c>
      <c r="I30" s="35">
        <v>878</v>
      </c>
    </row>
    <row r="31" spans="1:9">
      <c r="A31" s="27">
        <v>7</v>
      </c>
      <c r="B31" s="28" t="s">
        <v>58</v>
      </c>
      <c r="C31" s="29">
        <v>10</v>
      </c>
      <c r="D31" s="30" t="s">
        <v>59</v>
      </c>
      <c r="E31" s="30" t="s">
        <v>46</v>
      </c>
      <c r="F31" s="31">
        <v>4.5</v>
      </c>
      <c r="G31" s="32">
        <v>5</v>
      </c>
      <c r="H31" s="29" t="s">
        <v>35</v>
      </c>
      <c r="I31" s="35">
        <v>720</v>
      </c>
    </row>
    <row r="32" ht="24" spans="1:9">
      <c r="A32" s="27">
        <v>8</v>
      </c>
      <c r="B32" s="28" t="s">
        <v>60</v>
      </c>
      <c r="C32" s="29">
        <v>11</v>
      </c>
      <c r="D32" s="30" t="s">
        <v>61</v>
      </c>
      <c r="E32" s="30" t="s">
        <v>38</v>
      </c>
      <c r="F32" s="31">
        <v>0.2</v>
      </c>
      <c r="G32" s="32">
        <v>0.2</v>
      </c>
      <c r="H32" s="29" t="s">
        <v>35</v>
      </c>
      <c r="I32" s="35">
        <v>18000</v>
      </c>
    </row>
    <row r="33" ht="24" spans="1:9">
      <c r="A33" s="27">
        <v>6</v>
      </c>
      <c r="B33" s="28" t="s">
        <v>62</v>
      </c>
      <c r="C33" s="29">
        <v>12</v>
      </c>
      <c r="D33" s="30" t="s">
        <v>63</v>
      </c>
      <c r="E33" s="30" t="s">
        <v>42</v>
      </c>
      <c r="F33" s="31">
        <v>1.2</v>
      </c>
      <c r="G33" s="32">
        <v>1.3</v>
      </c>
      <c r="H33" s="29" t="s">
        <v>43</v>
      </c>
      <c r="I33" s="35">
        <v>2769</v>
      </c>
    </row>
    <row r="34" ht="24" spans="1:9">
      <c r="A34" s="27">
        <v>10</v>
      </c>
      <c r="B34" s="28" t="s">
        <v>64</v>
      </c>
      <c r="C34" s="29">
        <v>13</v>
      </c>
      <c r="D34" s="30" t="s">
        <v>65</v>
      </c>
      <c r="E34" s="30" t="s">
        <v>46</v>
      </c>
      <c r="F34" s="31">
        <v>0.6</v>
      </c>
      <c r="G34" s="32">
        <v>0.6</v>
      </c>
      <c r="H34" s="29" t="s">
        <v>35</v>
      </c>
      <c r="I34" s="35">
        <v>6000</v>
      </c>
    </row>
    <row r="35" spans="1:9">
      <c r="A35" s="27">
        <v>17</v>
      </c>
      <c r="B35" s="28" t="s">
        <v>66</v>
      </c>
      <c r="C35" s="29">
        <v>14</v>
      </c>
      <c r="D35" s="30" t="s">
        <v>66</v>
      </c>
      <c r="E35" s="30" t="s">
        <v>67</v>
      </c>
      <c r="F35" s="31">
        <v>11.1</v>
      </c>
      <c r="G35" s="32">
        <v>12.5</v>
      </c>
      <c r="H35" s="29" t="s">
        <v>35</v>
      </c>
      <c r="I35" s="35">
        <v>288</v>
      </c>
    </row>
    <row r="36" spans="1:9">
      <c r="A36" s="27">
        <v>18</v>
      </c>
      <c r="B36" s="28" t="s">
        <v>68</v>
      </c>
      <c r="C36" s="29">
        <v>15</v>
      </c>
      <c r="D36" s="30" t="s">
        <v>68</v>
      </c>
      <c r="E36" s="30" t="s">
        <v>67</v>
      </c>
      <c r="F36" s="31">
        <v>15.3</v>
      </c>
      <c r="G36" s="32">
        <v>17.2</v>
      </c>
      <c r="H36" s="29" t="s">
        <v>35</v>
      </c>
      <c r="I36" s="35">
        <v>209</v>
      </c>
    </row>
    <row r="37" spans="1:9">
      <c r="A37" s="27">
        <v>19</v>
      </c>
      <c r="B37" s="28" t="s">
        <v>69</v>
      </c>
      <c r="C37" s="29">
        <v>16</v>
      </c>
      <c r="D37" s="30" t="s">
        <v>69</v>
      </c>
      <c r="E37" s="30" t="s">
        <v>67</v>
      </c>
      <c r="F37" s="31">
        <v>15.3</v>
      </c>
      <c r="G37" s="32">
        <v>17.2</v>
      </c>
      <c r="H37" s="29" t="s">
        <v>35</v>
      </c>
      <c r="I37" s="35">
        <v>209</v>
      </c>
    </row>
    <row r="38" spans="1:9">
      <c r="A38" s="27">
        <v>12</v>
      </c>
      <c r="B38" s="28" t="s">
        <v>70</v>
      </c>
      <c r="C38" s="29">
        <v>17</v>
      </c>
      <c r="D38" s="30" t="s">
        <v>70</v>
      </c>
      <c r="E38" s="30" t="s">
        <v>71</v>
      </c>
      <c r="F38" s="31">
        <v>11.1</v>
      </c>
      <c r="G38" s="32">
        <v>12.5</v>
      </c>
      <c r="H38" s="29" t="s">
        <v>35</v>
      </c>
      <c r="I38" s="35">
        <v>288</v>
      </c>
    </row>
    <row r="39" ht="24" spans="1:9">
      <c r="A39" s="27">
        <v>55</v>
      </c>
      <c r="B39" s="28" t="s">
        <v>72</v>
      </c>
      <c r="C39" s="29">
        <v>18</v>
      </c>
      <c r="D39" s="30" t="s">
        <v>72</v>
      </c>
      <c r="E39" s="30" t="s">
        <v>73</v>
      </c>
      <c r="F39" s="31">
        <v>16.7</v>
      </c>
      <c r="G39" s="32">
        <v>18.8</v>
      </c>
      <c r="H39" s="29" t="s">
        <v>35</v>
      </c>
      <c r="I39" s="35">
        <v>191</v>
      </c>
    </row>
    <row r="40" spans="1:9">
      <c r="A40" s="27">
        <v>54</v>
      </c>
      <c r="B40" s="28" t="s">
        <v>74</v>
      </c>
      <c r="C40" s="29">
        <v>19</v>
      </c>
      <c r="D40" s="30" t="s">
        <v>74</v>
      </c>
      <c r="E40" s="30" t="s">
        <v>73</v>
      </c>
      <c r="F40" s="31">
        <v>9.7</v>
      </c>
      <c r="G40" s="32">
        <v>10.9</v>
      </c>
      <c r="H40" s="29" t="s">
        <v>35</v>
      </c>
      <c r="I40" s="35">
        <v>330</v>
      </c>
    </row>
    <row r="41" spans="1:9">
      <c r="A41" s="27">
        <v>11</v>
      </c>
      <c r="B41" s="28" t="s">
        <v>75</v>
      </c>
      <c r="C41" s="29"/>
      <c r="D41" s="30"/>
      <c r="E41" s="30"/>
      <c r="F41" s="31"/>
      <c r="G41" s="32"/>
      <c r="H41" s="29"/>
      <c r="I41" s="35"/>
    </row>
    <row r="42" spans="1:9">
      <c r="A42" s="33"/>
      <c r="B42" s="34" t="s">
        <v>76</v>
      </c>
      <c r="C42" s="25"/>
      <c r="D42" s="24" t="s">
        <v>76</v>
      </c>
      <c r="E42" s="24"/>
      <c r="F42" s="24"/>
      <c r="G42" s="26"/>
      <c r="H42" s="24"/>
      <c r="I42" s="24"/>
    </row>
    <row r="43" spans="1:9">
      <c r="A43" s="27">
        <v>20</v>
      </c>
      <c r="B43" s="28" t="s">
        <v>77</v>
      </c>
      <c r="C43" s="29">
        <v>20</v>
      </c>
      <c r="D43" s="30" t="s">
        <v>77</v>
      </c>
      <c r="E43" s="30" t="s">
        <v>78</v>
      </c>
      <c r="F43" s="31">
        <v>11.8</v>
      </c>
      <c r="G43" s="32">
        <v>13.1</v>
      </c>
      <c r="H43" s="29" t="s">
        <v>79</v>
      </c>
      <c r="I43" s="35">
        <v>275</v>
      </c>
    </row>
    <row r="44" spans="1:9">
      <c r="A44" s="27">
        <v>21</v>
      </c>
      <c r="B44" s="28" t="s">
        <v>80</v>
      </c>
      <c r="C44" s="29">
        <v>21</v>
      </c>
      <c r="D44" s="30" t="s">
        <v>80</v>
      </c>
      <c r="E44" s="30" t="s">
        <v>78</v>
      </c>
      <c r="F44" s="31">
        <v>12.7</v>
      </c>
      <c r="G44" s="32">
        <v>14.1</v>
      </c>
      <c r="H44" s="29" t="s">
        <v>79</v>
      </c>
      <c r="I44" s="35">
        <v>255</v>
      </c>
    </row>
    <row r="45" spans="1:9">
      <c r="A45" s="27">
        <v>22</v>
      </c>
      <c r="B45" s="28" t="s">
        <v>81</v>
      </c>
      <c r="C45" s="29">
        <v>22</v>
      </c>
      <c r="D45" s="30" t="s">
        <v>81</v>
      </c>
      <c r="E45" s="30" t="s">
        <v>78</v>
      </c>
      <c r="F45" s="31">
        <v>35.1</v>
      </c>
      <c r="G45" s="32">
        <v>39.3</v>
      </c>
      <c r="H45" s="29" t="s">
        <v>82</v>
      </c>
      <c r="I45" s="35">
        <v>92</v>
      </c>
    </row>
    <row r="46" ht="24" spans="1:9">
      <c r="A46" s="27">
        <v>23</v>
      </c>
      <c r="B46" s="28" t="s">
        <v>83</v>
      </c>
      <c r="C46" s="29">
        <v>23</v>
      </c>
      <c r="D46" s="30" t="s">
        <v>83</v>
      </c>
      <c r="E46" s="30" t="s">
        <v>78</v>
      </c>
      <c r="F46" s="31">
        <v>26.3</v>
      </c>
      <c r="G46" s="32">
        <v>29.5</v>
      </c>
      <c r="H46" s="29" t="s">
        <v>82</v>
      </c>
      <c r="I46" s="35">
        <v>122</v>
      </c>
    </row>
    <row r="47" spans="1:9">
      <c r="A47" s="27">
        <v>24</v>
      </c>
      <c r="B47" s="28" t="s">
        <v>84</v>
      </c>
      <c r="C47" s="29">
        <v>24</v>
      </c>
      <c r="D47" s="30" t="s">
        <v>84</v>
      </c>
      <c r="E47" s="30" t="s">
        <v>67</v>
      </c>
      <c r="F47" s="31">
        <v>30.3</v>
      </c>
      <c r="G47" s="32">
        <v>34.1</v>
      </c>
      <c r="H47" s="29" t="s">
        <v>85</v>
      </c>
      <c r="I47" s="35">
        <v>106</v>
      </c>
    </row>
    <row r="48" spans="1:9">
      <c r="A48" s="33"/>
      <c r="B48" s="34" t="s">
        <v>86</v>
      </c>
      <c r="C48" s="25"/>
      <c r="D48" s="24" t="s">
        <v>86</v>
      </c>
      <c r="E48" s="24"/>
      <c r="F48" s="24"/>
      <c r="G48" s="26">
        <f>SUM(G43:G47)</f>
        <v>130.1</v>
      </c>
      <c r="H48" s="24"/>
      <c r="I48" s="24"/>
    </row>
    <row r="49" spans="1:9">
      <c r="A49" s="27">
        <v>14</v>
      </c>
      <c r="B49" s="28" t="s">
        <v>87</v>
      </c>
      <c r="C49" s="29">
        <v>25</v>
      </c>
      <c r="D49" s="30" t="s">
        <v>87</v>
      </c>
      <c r="E49" s="30" t="s">
        <v>88</v>
      </c>
      <c r="F49" s="31">
        <v>6.7</v>
      </c>
      <c r="G49" s="32">
        <v>6.7</v>
      </c>
      <c r="H49" s="29" t="s">
        <v>89</v>
      </c>
      <c r="I49" s="35">
        <v>537</v>
      </c>
    </row>
    <row r="50" spans="1:9">
      <c r="A50" s="27">
        <v>15</v>
      </c>
      <c r="B50" s="28" t="s">
        <v>90</v>
      </c>
      <c r="C50" s="29">
        <v>26</v>
      </c>
      <c r="D50" s="30" t="s">
        <v>90</v>
      </c>
      <c r="E50" s="30" t="s">
        <v>88</v>
      </c>
      <c r="F50" s="31">
        <v>1.3</v>
      </c>
      <c r="G50" s="32">
        <v>1.3</v>
      </c>
      <c r="H50" s="29" t="s">
        <v>89</v>
      </c>
      <c r="I50" s="35">
        <v>2769</v>
      </c>
    </row>
    <row r="51" spans="1:9">
      <c r="A51" s="27">
        <v>25</v>
      </c>
      <c r="B51" s="28" t="s">
        <v>91</v>
      </c>
      <c r="C51" s="29">
        <v>27</v>
      </c>
      <c r="D51" s="30" t="s">
        <v>91</v>
      </c>
      <c r="E51" s="30" t="s">
        <v>46</v>
      </c>
      <c r="F51" s="31">
        <v>2.9</v>
      </c>
      <c r="G51" s="32">
        <v>3.2</v>
      </c>
      <c r="H51" s="29" t="s">
        <v>89</v>
      </c>
      <c r="I51" s="35">
        <v>1125</v>
      </c>
    </row>
    <row r="52" ht="24" spans="1:9">
      <c r="A52" s="27">
        <v>26</v>
      </c>
      <c r="B52" s="28" t="s">
        <v>92</v>
      </c>
      <c r="C52" s="29">
        <v>28</v>
      </c>
      <c r="D52" s="30" t="s">
        <v>92</v>
      </c>
      <c r="E52" s="30" t="s">
        <v>93</v>
      </c>
      <c r="F52" s="31">
        <v>18.8</v>
      </c>
      <c r="G52" s="32">
        <v>21</v>
      </c>
      <c r="H52" s="29" t="s">
        <v>94</v>
      </c>
      <c r="I52" s="35">
        <v>171</v>
      </c>
    </row>
    <row r="53" spans="1:9">
      <c r="A53" s="27">
        <v>28</v>
      </c>
      <c r="B53" s="28" t="s">
        <v>95</v>
      </c>
      <c r="C53" s="29">
        <v>29</v>
      </c>
      <c r="D53" s="30" t="s">
        <v>95</v>
      </c>
      <c r="E53" s="30" t="s">
        <v>46</v>
      </c>
      <c r="F53" s="31">
        <v>7.4</v>
      </c>
      <c r="G53" s="32">
        <v>8.2</v>
      </c>
      <c r="H53" s="29" t="s">
        <v>89</v>
      </c>
      <c r="I53" s="35">
        <v>439</v>
      </c>
    </row>
    <row r="54" spans="1:9">
      <c r="A54" s="33"/>
      <c r="B54" s="34" t="s">
        <v>96</v>
      </c>
      <c r="C54" s="25"/>
      <c r="D54" s="24" t="s">
        <v>96</v>
      </c>
      <c r="E54" s="24"/>
      <c r="F54" s="24"/>
      <c r="G54" s="26">
        <f>SUM(G49:G53)</f>
        <v>40.4</v>
      </c>
      <c r="H54" s="24"/>
      <c r="I54" s="24"/>
    </row>
    <row r="55" spans="1:9">
      <c r="A55" s="27">
        <v>29</v>
      </c>
      <c r="B55" s="28" t="s">
        <v>97</v>
      </c>
      <c r="C55" s="29">
        <v>30</v>
      </c>
      <c r="D55" s="30" t="s">
        <v>97</v>
      </c>
      <c r="E55" s="30" t="s">
        <v>88</v>
      </c>
      <c r="F55" s="31">
        <v>1.3</v>
      </c>
      <c r="G55" s="32">
        <v>1.3</v>
      </c>
      <c r="H55" s="29" t="s">
        <v>89</v>
      </c>
      <c r="I55" s="35">
        <v>2769</v>
      </c>
    </row>
    <row r="56" spans="1:9">
      <c r="A56" s="27">
        <v>30</v>
      </c>
      <c r="B56" s="28" t="s">
        <v>98</v>
      </c>
      <c r="C56" s="29">
        <v>31</v>
      </c>
      <c r="D56" s="30" t="s">
        <v>98</v>
      </c>
      <c r="E56" s="30" t="s">
        <v>46</v>
      </c>
      <c r="F56" s="31">
        <v>2.9</v>
      </c>
      <c r="G56" s="32">
        <v>3.2</v>
      </c>
      <c r="H56" s="29" t="s">
        <v>89</v>
      </c>
      <c r="I56" s="35">
        <v>1125</v>
      </c>
    </row>
    <row r="57" spans="1:9">
      <c r="A57" s="27">
        <v>36</v>
      </c>
      <c r="B57" s="28" t="s">
        <v>99</v>
      </c>
      <c r="C57" s="29">
        <v>32</v>
      </c>
      <c r="D57" s="30" t="s">
        <v>99</v>
      </c>
      <c r="E57" s="30" t="s">
        <v>93</v>
      </c>
      <c r="F57" s="31">
        <v>10.8</v>
      </c>
      <c r="G57" s="32">
        <v>12</v>
      </c>
      <c r="H57" s="29" t="s">
        <v>100</v>
      </c>
      <c r="I57" s="35">
        <v>300</v>
      </c>
    </row>
    <row r="58" ht="36" spans="1:9">
      <c r="A58" s="27">
        <v>37</v>
      </c>
      <c r="B58" s="28" t="s">
        <v>101</v>
      </c>
      <c r="C58" s="29">
        <v>33</v>
      </c>
      <c r="D58" s="30" t="s">
        <v>101</v>
      </c>
      <c r="E58" s="30" t="s">
        <v>102</v>
      </c>
      <c r="F58" s="31">
        <v>16.4</v>
      </c>
      <c r="G58" s="32">
        <v>18.1</v>
      </c>
      <c r="H58" s="29" t="s">
        <v>43</v>
      </c>
      <c r="I58" s="35">
        <v>199</v>
      </c>
    </row>
    <row r="59" spans="1:9">
      <c r="A59" s="27">
        <v>38</v>
      </c>
      <c r="B59" s="28" t="s">
        <v>103</v>
      </c>
      <c r="C59" s="29">
        <v>34</v>
      </c>
      <c r="D59" s="30" t="s">
        <v>103</v>
      </c>
      <c r="E59" s="30" t="s">
        <v>46</v>
      </c>
      <c r="F59" s="31">
        <v>17.7</v>
      </c>
      <c r="G59" s="32">
        <v>19.6</v>
      </c>
      <c r="H59" s="29" t="s">
        <v>35</v>
      </c>
      <c r="I59" s="35">
        <v>184</v>
      </c>
    </row>
    <row r="60" spans="1:9">
      <c r="A60" s="27">
        <v>39</v>
      </c>
      <c r="B60" s="28" t="s">
        <v>104</v>
      </c>
      <c r="C60" s="29">
        <v>35</v>
      </c>
      <c r="D60" s="30" t="s">
        <v>104</v>
      </c>
      <c r="E60" s="30" t="s">
        <v>93</v>
      </c>
      <c r="F60" s="31">
        <v>25.5</v>
      </c>
      <c r="G60" s="32">
        <v>28.9</v>
      </c>
      <c r="H60" s="29" t="s">
        <v>105</v>
      </c>
      <c r="I60" s="35">
        <v>125</v>
      </c>
    </row>
    <row r="61" ht="24" spans="1:9">
      <c r="A61" s="27">
        <v>40</v>
      </c>
      <c r="B61" s="28" t="s">
        <v>106</v>
      </c>
      <c r="C61" s="29">
        <v>36</v>
      </c>
      <c r="D61" s="30" t="s">
        <v>106</v>
      </c>
      <c r="E61" s="30" t="s">
        <v>107</v>
      </c>
      <c r="F61" s="31">
        <v>16.5</v>
      </c>
      <c r="G61" s="32">
        <v>18.5</v>
      </c>
      <c r="H61" s="29" t="s">
        <v>43</v>
      </c>
      <c r="I61" s="35">
        <v>195</v>
      </c>
    </row>
    <row r="62" ht="24" spans="1:9">
      <c r="A62" s="27">
        <v>41</v>
      </c>
      <c r="B62" s="28" t="s">
        <v>108</v>
      </c>
      <c r="C62" s="29">
        <v>37</v>
      </c>
      <c r="D62" s="30" t="s">
        <v>108</v>
      </c>
      <c r="E62" s="30" t="s">
        <v>93</v>
      </c>
      <c r="F62" s="31">
        <v>16.2</v>
      </c>
      <c r="G62" s="32">
        <v>18</v>
      </c>
      <c r="H62" s="29" t="s">
        <v>79</v>
      </c>
      <c r="I62" s="35">
        <v>200</v>
      </c>
    </row>
    <row r="63" spans="1:9">
      <c r="A63" s="27">
        <v>42</v>
      </c>
      <c r="B63" s="28" t="s">
        <v>109</v>
      </c>
      <c r="C63" s="29">
        <v>38</v>
      </c>
      <c r="D63" s="30" t="s">
        <v>109</v>
      </c>
      <c r="E63" s="30" t="s">
        <v>67</v>
      </c>
      <c r="F63" s="31">
        <v>12.4</v>
      </c>
      <c r="G63" s="32">
        <v>14</v>
      </c>
      <c r="H63" s="29" t="s">
        <v>100</v>
      </c>
      <c r="I63" s="35">
        <v>257</v>
      </c>
    </row>
    <row r="64" ht="24" spans="1:9">
      <c r="A64" s="27">
        <v>43</v>
      </c>
      <c r="B64" s="28" t="s">
        <v>110</v>
      </c>
      <c r="C64" s="29">
        <v>39</v>
      </c>
      <c r="D64" s="30" t="s">
        <v>110</v>
      </c>
      <c r="E64" s="30" t="s">
        <v>93</v>
      </c>
      <c r="F64" s="31">
        <v>26.1</v>
      </c>
      <c r="G64" s="32">
        <v>29.2</v>
      </c>
      <c r="H64" s="29" t="s">
        <v>82</v>
      </c>
      <c r="I64" s="35">
        <v>123</v>
      </c>
    </row>
    <row r="65" spans="1:9">
      <c r="A65" s="27">
        <v>44</v>
      </c>
      <c r="B65" s="28" t="s">
        <v>111</v>
      </c>
      <c r="C65" s="29">
        <v>40</v>
      </c>
      <c r="D65" s="30" t="s">
        <v>111</v>
      </c>
      <c r="E65" s="30" t="s">
        <v>67</v>
      </c>
      <c r="F65" s="31">
        <v>22.2</v>
      </c>
      <c r="G65" s="32">
        <v>25</v>
      </c>
      <c r="H65" s="29" t="s">
        <v>85</v>
      </c>
      <c r="I65" s="35">
        <v>144</v>
      </c>
    </row>
    <row r="66" ht="24" spans="1:9">
      <c r="A66" s="27">
        <v>45</v>
      </c>
      <c r="B66" s="28" t="s">
        <v>112</v>
      </c>
      <c r="C66" s="29">
        <v>41</v>
      </c>
      <c r="D66" s="30" t="s">
        <v>112</v>
      </c>
      <c r="E66" s="30" t="s">
        <v>67</v>
      </c>
      <c r="F66" s="31">
        <v>20.6</v>
      </c>
      <c r="G66" s="32">
        <v>23.2</v>
      </c>
      <c r="H66" s="29" t="s">
        <v>85</v>
      </c>
      <c r="I66" s="35">
        <v>155</v>
      </c>
    </row>
    <row r="67" ht="24" spans="1:9">
      <c r="A67" s="27">
        <v>46</v>
      </c>
      <c r="B67" s="28" t="s">
        <v>113</v>
      </c>
      <c r="C67" s="29">
        <v>42</v>
      </c>
      <c r="D67" s="30" t="s">
        <v>113</v>
      </c>
      <c r="E67" s="30" t="s">
        <v>93</v>
      </c>
      <c r="F67" s="31">
        <v>56.6</v>
      </c>
      <c r="G67" s="32">
        <v>63.9</v>
      </c>
      <c r="H67" s="29" t="s">
        <v>114</v>
      </c>
      <c r="I67" s="35">
        <v>56</v>
      </c>
    </row>
    <row r="68" spans="1:9">
      <c r="A68" s="27"/>
      <c r="B68" s="34" t="s">
        <v>115</v>
      </c>
      <c r="C68" s="25"/>
      <c r="D68" s="24" t="s">
        <v>115</v>
      </c>
      <c r="E68" s="24"/>
      <c r="F68" s="24"/>
      <c r="G68" s="26">
        <f>SUM(G55:G67)</f>
        <v>274.9</v>
      </c>
      <c r="H68" s="24"/>
      <c r="I68" s="24"/>
    </row>
    <row r="69" ht="24" spans="1:9">
      <c r="A69" s="27">
        <v>48</v>
      </c>
      <c r="B69" s="28" t="s">
        <v>116</v>
      </c>
      <c r="C69" s="29">
        <v>43</v>
      </c>
      <c r="D69" s="30" t="s">
        <v>116</v>
      </c>
      <c r="E69" s="30" t="s">
        <v>117</v>
      </c>
      <c r="F69" s="31">
        <v>13.3</v>
      </c>
      <c r="G69" s="32">
        <v>14.7</v>
      </c>
      <c r="H69" s="29" t="s">
        <v>118</v>
      </c>
      <c r="I69" s="35">
        <v>245</v>
      </c>
    </row>
    <row r="70" spans="1:9">
      <c r="A70" s="27">
        <v>49</v>
      </c>
      <c r="B70" s="28" t="s">
        <v>119</v>
      </c>
      <c r="C70" s="29">
        <v>44</v>
      </c>
      <c r="D70" s="30" t="s">
        <v>119</v>
      </c>
      <c r="E70" s="30" t="s">
        <v>78</v>
      </c>
      <c r="F70" s="31">
        <v>22</v>
      </c>
      <c r="G70" s="32">
        <v>24.8</v>
      </c>
      <c r="H70" s="29" t="s">
        <v>82</v>
      </c>
      <c r="I70" s="35">
        <v>145</v>
      </c>
    </row>
    <row r="71" spans="1:9">
      <c r="A71" s="27">
        <v>50</v>
      </c>
      <c r="B71" s="28" t="s">
        <v>120</v>
      </c>
      <c r="C71" s="29">
        <v>45</v>
      </c>
      <c r="D71" s="30" t="s">
        <v>120</v>
      </c>
      <c r="E71" s="30" t="s">
        <v>93</v>
      </c>
      <c r="F71" s="31">
        <v>23.1</v>
      </c>
      <c r="G71" s="32">
        <v>26</v>
      </c>
      <c r="H71" s="29" t="s">
        <v>94</v>
      </c>
      <c r="I71" s="35">
        <v>138</v>
      </c>
    </row>
    <row r="72" spans="1:9">
      <c r="A72" s="27">
        <v>51</v>
      </c>
      <c r="B72" s="28" t="s">
        <v>121</v>
      </c>
      <c r="C72" s="29">
        <v>46</v>
      </c>
      <c r="D72" s="30" t="s">
        <v>121</v>
      </c>
      <c r="E72" s="30" t="s">
        <v>93</v>
      </c>
      <c r="F72" s="31">
        <v>20.9</v>
      </c>
      <c r="G72" s="32">
        <v>23.7</v>
      </c>
      <c r="H72" s="29" t="s">
        <v>105</v>
      </c>
      <c r="I72" s="35">
        <v>152</v>
      </c>
    </row>
    <row r="73" ht="36" spans="1:9">
      <c r="A73" s="27">
        <v>52</v>
      </c>
      <c r="B73" s="28" t="s">
        <v>122</v>
      </c>
      <c r="C73" s="29">
        <v>47</v>
      </c>
      <c r="D73" s="30" t="s">
        <v>122</v>
      </c>
      <c r="E73" s="30" t="s">
        <v>93</v>
      </c>
      <c r="F73" s="31">
        <v>30.3</v>
      </c>
      <c r="G73" s="32">
        <v>33.7</v>
      </c>
      <c r="H73" s="29" t="s">
        <v>105</v>
      </c>
      <c r="I73" s="35">
        <v>107</v>
      </c>
    </row>
    <row r="74" ht="24" spans="1:9">
      <c r="A74" s="27">
        <v>53</v>
      </c>
      <c r="B74" s="28" t="s">
        <v>123</v>
      </c>
      <c r="C74" s="29">
        <v>48</v>
      </c>
      <c r="D74" s="30" t="s">
        <v>123</v>
      </c>
      <c r="E74" s="30" t="s">
        <v>93</v>
      </c>
      <c r="F74" s="31">
        <v>12.3</v>
      </c>
      <c r="G74" s="32">
        <v>13.7</v>
      </c>
      <c r="H74" s="29" t="s">
        <v>43</v>
      </c>
      <c r="I74" s="35">
        <v>263</v>
      </c>
    </row>
    <row r="75" spans="1:9">
      <c r="A75" s="33"/>
      <c r="B75" s="34" t="s">
        <v>124</v>
      </c>
      <c r="C75" s="25"/>
      <c r="D75" s="24" t="s">
        <v>124</v>
      </c>
      <c r="E75" s="24"/>
      <c r="F75" s="24"/>
      <c r="G75" s="26">
        <f>SUM(G69:G74)</f>
        <v>136.6</v>
      </c>
      <c r="H75" s="24"/>
      <c r="I75" s="24"/>
    </row>
    <row r="76" spans="1:9">
      <c r="A76" s="27">
        <v>27</v>
      </c>
      <c r="B76" s="28" t="s">
        <v>125</v>
      </c>
      <c r="C76" s="29">
        <v>49</v>
      </c>
      <c r="D76" s="30" t="s">
        <v>126</v>
      </c>
      <c r="E76" s="30" t="s">
        <v>127</v>
      </c>
      <c r="F76" s="31">
        <v>33.8</v>
      </c>
      <c r="G76" s="32">
        <v>37.4</v>
      </c>
      <c r="H76" s="29" t="s">
        <v>39</v>
      </c>
      <c r="I76" s="35">
        <v>96</v>
      </c>
    </row>
    <row r="77" spans="1:9">
      <c r="A77" s="27">
        <v>57</v>
      </c>
      <c r="B77" s="28" t="s">
        <v>128</v>
      </c>
      <c r="C77" s="29">
        <v>50</v>
      </c>
      <c r="D77" s="30" t="s">
        <v>128</v>
      </c>
      <c r="E77" s="30" t="s">
        <v>78</v>
      </c>
      <c r="F77" s="31">
        <v>36.8</v>
      </c>
      <c r="G77" s="32">
        <v>41.4</v>
      </c>
      <c r="H77" s="29" t="s">
        <v>105</v>
      </c>
      <c r="I77" s="35">
        <v>87</v>
      </c>
    </row>
    <row r="78" ht="24" spans="1:9">
      <c r="A78" s="27">
        <v>58</v>
      </c>
      <c r="B78" s="28" t="s">
        <v>129</v>
      </c>
      <c r="C78" s="29">
        <v>51</v>
      </c>
      <c r="D78" s="30" t="s">
        <v>129</v>
      </c>
      <c r="E78" s="30" t="s">
        <v>46</v>
      </c>
      <c r="F78" s="31">
        <v>31</v>
      </c>
      <c r="G78" s="32">
        <v>34.2</v>
      </c>
      <c r="H78" s="29" t="s">
        <v>118</v>
      </c>
      <c r="I78" s="35">
        <v>105</v>
      </c>
    </row>
    <row r="79" ht="24" spans="1:9">
      <c r="A79" s="27">
        <v>59</v>
      </c>
      <c r="B79" s="28" t="s">
        <v>130</v>
      </c>
      <c r="C79" s="29">
        <v>52</v>
      </c>
      <c r="D79" s="30" t="s">
        <v>130</v>
      </c>
      <c r="E79" s="30" t="s">
        <v>93</v>
      </c>
      <c r="F79" s="31">
        <v>95.7</v>
      </c>
      <c r="G79" s="32">
        <v>107.7</v>
      </c>
      <c r="H79" s="29" t="s">
        <v>131</v>
      </c>
      <c r="I79" s="35">
        <v>33</v>
      </c>
    </row>
    <row r="80" ht="24" spans="1:9">
      <c r="A80" s="27">
        <v>60</v>
      </c>
      <c r="B80" s="28" t="s">
        <v>132</v>
      </c>
      <c r="C80" s="29">
        <v>53</v>
      </c>
      <c r="D80" s="30" t="s">
        <v>132</v>
      </c>
      <c r="E80" s="30" t="s">
        <v>93</v>
      </c>
      <c r="F80" s="31">
        <v>46.2</v>
      </c>
      <c r="G80" s="32">
        <v>51.7</v>
      </c>
      <c r="H80" s="29" t="s">
        <v>114</v>
      </c>
      <c r="I80" s="35">
        <v>70</v>
      </c>
    </row>
    <row r="81" ht="24" spans="1:9">
      <c r="A81" s="27">
        <v>61</v>
      </c>
      <c r="B81" s="28" t="s">
        <v>133</v>
      </c>
      <c r="C81" s="29">
        <v>54</v>
      </c>
      <c r="D81" s="30" t="s">
        <v>133</v>
      </c>
      <c r="E81" s="30" t="s">
        <v>78</v>
      </c>
      <c r="F81" s="31">
        <v>13.1</v>
      </c>
      <c r="G81" s="32">
        <v>14.8</v>
      </c>
      <c r="H81" s="29" t="s">
        <v>82</v>
      </c>
      <c r="I81" s="35">
        <v>243</v>
      </c>
    </row>
    <row r="82" spans="1:9">
      <c r="A82" s="27">
        <v>62</v>
      </c>
      <c r="B82" s="28" t="s">
        <v>134</v>
      </c>
      <c r="C82" s="29">
        <v>55</v>
      </c>
      <c r="D82" s="30" t="s">
        <v>134</v>
      </c>
      <c r="E82" s="30" t="s">
        <v>78</v>
      </c>
      <c r="F82" s="31">
        <v>12.7</v>
      </c>
      <c r="G82" s="32">
        <v>14.1</v>
      </c>
      <c r="H82" s="29" t="s">
        <v>82</v>
      </c>
      <c r="I82" s="35">
        <v>255</v>
      </c>
    </row>
    <row r="83" spans="1:9">
      <c r="A83" s="27">
        <v>63</v>
      </c>
      <c r="B83" s="28" t="s">
        <v>135</v>
      </c>
      <c r="C83" s="29">
        <v>56</v>
      </c>
      <c r="D83" s="30" t="s">
        <v>135</v>
      </c>
      <c r="E83" s="30" t="s">
        <v>78</v>
      </c>
      <c r="F83" s="31">
        <v>26.1</v>
      </c>
      <c r="G83" s="32">
        <v>29.4</v>
      </c>
      <c r="H83" s="29" t="s">
        <v>105</v>
      </c>
      <c r="I83" s="35">
        <v>122</v>
      </c>
    </row>
    <row r="84" spans="1:9">
      <c r="A84" s="27">
        <v>64</v>
      </c>
      <c r="B84" s="28" t="s">
        <v>136</v>
      </c>
      <c r="C84" s="29">
        <v>57</v>
      </c>
      <c r="D84" s="30" t="s">
        <v>136</v>
      </c>
      <c r="E84" s="30" t="s">
        <v>67</v>
      </c>
      <c r="F84" s="31">
        <v>30.3</v>
      </c>
      <c r="G84" s="32">
        <v>34.1</v>
      </c>
      <c r="H84" s="29" t="s">
        <v>85</v>
      </c>
      <c r="I84" s="35">
        <v>106</v>
      </c>
    </row>
    <row r="85" ht="24" spans="1:9">
      <c r="A85" s="27">
        <v>65</v>
      </c>
      <c r="B85" s="28" t="s">
        <v>137</v>
      </c>
      <c r="C85" s="29">
        <v>58</v>
      </c>
      <c r="D85" s="30" t="s">
        <v>137</v>
      </c>
      <c r="E85" s="30" t="s">
        <v>138</v>
      </c>
      <c r="F85" s="31">
        <v>27.2</v>
      </c>
      <c r="G85" s="32">
        <v>30.3</v>
      </c>
      <c r="H85" s="29" t="s">
        <v>139</v>
      </c>
      <c r="I85" s="35">
        <v>119</v>
      </c>
    </row>
    <row r="86" ht="24" spans="1:9">
      <c r="A86" s="27">
        <v>66</v>
      </c>
      <c r="B86" s="28" t="s">
        <v>140</v>
      </c>
      <c r="C86" s="29">
        <v>59</v>
      </c>
      <c r="D86" s="30" t="s">
        <v>140</v>
      </c>
      <c r="E86" s="30" t="s">
        <v>93</v>
      </c>
      <c r="F86" s="31">
        <v>20.8</v>
      </c>
      <c r="G86" s="32">
        <v>23</v>
      </c>
      <c r="H86" s="29" t="s">
        <v>105</v>
      </c>
      <c r="I86" s="35">
        <v>157</v>
      </c>
    </row>
    <row r="87" spans="1:9">
      <c r="A87" s="27">
        <v>56</v>
      </c>
      <c r="B87" s="28" t="s">
        <v>141</v>
      </c>
      <c r="C87" s="29">
        <v>60</v>
      </c>
      <c r="D87" s="30" t="s">
        <v>141</v>
      </c>
      <c r="E87" s="30" t="s">
        <v>93</v>
      </c>
      <c r="F87" s="31">
        <v>7.4</v>
      </c>
      <c r="G87" s="32">
        <v>8.2</v>
      </c>
      <c r="H87" s="29" t="s">
        <v>79</v>
      </c>
      <c r="I87" s="35">
        <v>439</v>
      </c>
    </row>
    <row r="88" ht="24" spans="1:9">
      <c r="A88" s="27">
        <v>67</v>
      </c>
      <c r="B88" s="28" t="s">
        <v>142</v>
      </c>
      <c r="C88" s="29">
        <v>61</v>
      </c>
      <c r="D88" s="30" t="s">
        <v>142</v>
      </c>
      <c r="E88" s="30" t="s">
        <v>143</v>
      </c>
      <c r="F88" s="31">
        <v>33.8</v>
      </c>
      <c r="G88" s="32">
        <v>42.1</v>
      </c>
      <c r="H88" s="29" t="s">
        <v>139</v>
      </c>
      <c r="I88" s="35">
        <v>85</v>
      </c>
    </row>
    <row r="89" spans="1:9">
      <c r="A89" s="27">
        <v>68</v>
      </c>
      <c r="B89" s="28" t="s">
        <v>144</v>
      </c>
      <c r="C89" s="29">
        <v>62</v>
      </c>
      <c r="D89" s="30" t="s">
        <v>144</v>
      </c>
      <c r="E89" s="30" t="s">
        <v>93</v>
      </c>
      <c r="F89" s="31">
        <v>8</v>
      </c>
      <c r="G89" s="32">
        <v>8.8</v>
      </c>
      <c r="H89" s="29" t="s">
        <v>100</v>
      </c>
      <c r="I89" s="35">
        <v>409</v>
      </c>
    </row>
    <row r="90" spans="1:9">
      <c r="A90" s="27">
        <v>69</v>
      </c>
      <c r="B90" s="28" t="s">
        <v>145</v>
      </c>
      <c r="C90" s="29">
        <v>63</v>
      </c>
      <c r="D90" s="30" t="s">
        <v>145</v>
      </c>
      <c r="E90" s="30" t="s">
        <v>93</v>
      </c>
      <c r="F90" s="31">
        <v>27.2</v>
      </c>
      <c r="G90" s="32">
        <v>30.6</v>
      </c>
      <c r="H90" s="29" t="s">
        <v>79</v>
      </c>
      <c r="I90" s="35">
        <v>118</v>
      </c>
    </row>
    <row r="91" spans="1:9">
      <c r="A91" s="27">
        <v>70</v>
      </c>
      <c r="B91" s="28" t="s">
        <v>146</v>
      </c>
      <c r="C91" s="29">
        <v>64</v>
      </c>
      <c r="D91" s="30" t="s">
        <v>146</v>
      </c>
      <c r="E91" s="30" t="s">
        <v>46</v>
      </c>
      <c r="F91" s="31">
        <v>15.5</v>
      </c>
      <c r="G91" s="32">
        <v>17.2</v>
      </c>
      <c r="H91" s="29" t="s">
        <v>118</v>
      </c>
      <c r="I91" s="35">
        <v>209</v>
      </c>
    </row>
    <row r="92" spans="1:9">
      <c r="A92" s="27">
        <v>71</v>
      </c>
      <c r="B92" s="28" t="s">
        <v>147</v>
      </c>
      <c r="C92" s="29">
        <v>65</v>
      </c>
      <c r="D92" s="30" t="s">
        <v>147</v>
      </c>
      <c r="E92" s="30" t="s">
        <v>78</v>
      </c>
      <c r="F92" s="31">
        <v>37.4</v>
      </c>
      <c r="G92" s="32">
        <v>41.6</v>
      </c>
      <c r="H92" s="29" t="s">
        <v>105</v>
      </c>
      <c r="I92" s="35">
        <v>87</v>
      </c>
    </row>
    <row r="93" spans="1:9">
      <c r="A93" s="27">
        <v>72</v>
      </c>
      <c r="B93" s="28" t="s">
        <v>148</v>
      </c>
      <c r="C93" s="29">
        <v>66</v>
      </c>
      <c r="D93" s="30" t="s">
        <v>148</v>
      </c>
      <c r="E93" s="30" t="s">
        <v>93</v>
      </c>
      <c r="F93" s="31">
        <v>39.3</v>
      </c>
      <c r="G93" s="32">
        <v>44.2</v>
      </c>
      <c r="H93" s="29" t="s">
        <v>149</v>
      </c>
      <c r="I93" s="35">
        <v>81</v>
      </c>
    </row>
    <row r="94" spans="1:9">
      <c r="A94" s="27">
        <v>73</v>
      </c>
      <c r="B94" s="28" t="s">
        <v>150</v>
      </c>
      <c r="C94" s="29">
        <v>67</v>
      </c>
      <c r="D94" s="30" t="s">
        <v>150</v>
      </c>
      <c r="E94" s="30" t="s">
        <v>46</v>
      </c>
      <c r="F94" s="31">
        <v>7.2</v>
      </c>
      <c r="G94" s="32">
        <v>8</v>
      </c>
      <c r="H94" s="29" t="s">
        <v>89</v>
      </c>
      <c r="I94" s="35">
        <v>450</v>
      </c>
    </row>
    <row r="95" ht="24" spans="1:9">
      <c r="A95" s="27">
        <v>74</v>
      </c>
      <c r="B95" s="28" t="s">
        <v>151</v>
      </c>
      <c r="C95" s="29">
        <v>68</v>
      </c>
      <c r="D95" s="30" t="s">
        <v>151</v>
      </c>
      <c r="E95" s="30" t="s">
        <v>46</v>
      </c>
      <c r="F95" s="31">
        <v>16.7</v>
      </c>
      <c r="G95" s="32">
        <v>18.5</v>
      </c>
      <c r="H95" s="29" t="s">
        <v>89</v>
      </c>
      <c r="I95" s="35">
        <v>195</v>
      </c>
    </row>
    <row r="96" spans="1:9">
      <c r="A96" s="27">
        <v>90</v>
      </c>
      <c r="B96" s="28" t="s">
        <v>152</v>
      </c>
      <c r="C96" s="29">
        <v>69</v>
      </c>
      <c r="D96" s="30" t="s">
        <v>152</v>
      </c>
      <c r="E96" s="30" t="s">
        <v>46</v>
      </c>
      <c r="F96" s="31">
        <v>36</v>
      </c>
      <c r="G96" s="32">
        <v>39.8</v>
      </c>
      <c r="H96" s="29" t="s">
        <v>89</v>
      </c>
      <c r="I96" s="35">
        <v>90</v>
      </c>
    </row>
    <row r="97" spans="1:9">
      <c r="A97" s="27">
        <v>91</v>
      </c>
      <c r="B97" s="28" t="s">
        <v>153</v>
      </c>
      <c r="C97" s="29">
        <v>70</v>
      </c>
      <c r="D97" s="30" t="s">
        <v>153</v>
      </c>
      <c r="E97" s="30" t="s">
        <v>93</v>
      </c>
      <c r="F97" s="31">
        <v>9.1</v>
      </c>
      <c r="G97" s="32">
        <v>10.2</v>
      </c>
      <c r="H97" s="29" t="s">
        <v>100</v>
      </c>
      <c r="I97" s="35">
        <v>353</v>
      </c>
    </row>
    <row r="98" spans="1:9">
      <c r="A98" s="27">
        <v>120</v>
      </c>
      <c r="B98" s="28" t="s">
        <v>154</v>
      </c>
      <c r="C98" s="29">
        <v>71</v>
      </c>
      <c r="D98" s="30" t="s">
        <v>155</v>
      </c>
      <c r="E98" s="30" t="s">
        <v>127</v>
      </c>
      <c r="F98" s="31">
        <v>43.2</v>
      </c>
      <c r="G98" s="32">
        <v>47.7</v>
      </c>
      <c r="H98" s="29" t="s">
        <v>118</v>
      </c>
      <c r="I98" s="35">
        <v>75</v>
      </c>
    </row>
    <row r="99" spans="7:7">
      <c r="G99" s="3">
        <f>SUM(G77:G97)</f>
        <v>649.9</v>
      </c>
    </row>
    <row r="100" spans="1:1">
      <c r="A100" s="1" t="s">
        <v>156</v>
      </c>
    </row>
  </sheetData>
  <mergeCells count="22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100:I100"/>
    <mergeCell ref="A101:I101"/>
    <mergeCell ref="G4:I19"/>
  </mergeCells>
  <conditionalFormatting sqref="A21:A98">
    <cfRule type="duplicateValues" dxfId="0" priority="1"/>
  </conditionalFormatting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17Z0007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2025-06-24T00:30:00Z</dcterms:created>
  <dcterms:modified xsi:type="dcterms:W3CDTF">2025-07-01T06:28:55Z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CAEEE222AF7842F2B1F56659A1BC1C22_11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