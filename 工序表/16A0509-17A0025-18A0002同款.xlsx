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nzhu Lai\Dropbox\Yunzhu Exp\data\International order firm\runfeng\半年数据\半年数据\工序表\"/>
    </mc:Choice>
  </mc:AlternateContent>
  <xr:revisionPtr revIDLastSave="0" documentId="8_{7E2077C9-AF78-4108-B446-533FC5B32940}" xr6:coauthVersionLast="47" xr6:coauthVersionMax="47" xr10:uidLastSave="{00000000-0000-0000-0000-000000000000}"/>
  <bookViews>
    <workbookView xWindow="2438" yWindow="68" windowWidth="19020" windowHeight="13169" activeTab="1" xr2:uid="{00000000-000D-0000-FFFF-FFFF0000000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3" l="1"/>
  <c r="F81" i="3"/>
  <c r="F80" i="3"/>
  <c r="C10" i="3" l="1"/>
  <c r="C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80" authorId="0" shapeId="0" xr:uid="{0DDF14CB-53F1-43C4-B0FC-034B7E787F87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原工时50.7</t>
        </r>
      </text>
    </comment>
    <comment ref="F81" authorId="0" shapeId="0" xr:uid="{C65C7A9A-5B36-4E2D-8DD9-F49A1A15AA45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原工时1.0</t>
        </r>
      </text>
    </comment>
  </commentList>
</comments>
</file>

<file path=xl/sharedStrings.xml><?xml version="1.0" encoding="utf-8"?>
<sst xmlns="http://schemas.openxmlformats.org/spreadsheetml/2006/main" count="673" uniqueCount="193">
  <si>
    <t>重庆尚上服饰有限公司16A0509</t>
    <phoneticPr fontId="2" type="noConversion"/>
  </si>
  <si>
    <t>款式工序表</t>
  </si>
  <si>
    <t>打印日期：2024-12-07 09:23:31</t>
  </si>
  <si>
    <t>生产制单号：</t>
  </si>
  <si>
    <t>16A0509</t>
  </si>
  <si>
    <t>客　　户：</t>
  </si>
  <si>
    <t>上海润昌</t>
  </si>
  <si>
    <t>客户款号：</t>
  </si>
  <si>
    <t>款式描述：</t>
  </si>
  <si>
    <t>针织带帽拉链衫</t>
  </si>
  <si>
    <t>品质标准：</t>
  </si>
  <si>
    <t>数　　量：</t>
  </si>
  <si>
    <t>车缝时间：</t>
  </si>
  <si>
    <t>车缝10H台产：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</si>
  <si>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</si>
  <si>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</si>
  <si>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</si>
  <si>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</si>
  <si>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</si>
  <si>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</si>
  <si>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</si>
  <si>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</si>
  <si>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QLY-钱玲燕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</si>
  <si>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</si>
  <si>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</si>
  <si>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</si>
  <si>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</si>
  <si>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</si>
  <si>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</si>
  <si>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</si>
  <si>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</si>
  <si>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松主面布*1.1573</t>
  </si>
  <si>
    <t>松主面布*1.4491</t>
  </si>
  <si>
    <t>松布机</t>
  </si>
  <si>
    <t>E2</t>
  </si>
  <si>
    <t>松袋布*0.0451</t>
  </si>
  <si>
    <t>松袋布*0.1627</t>
  </si>
  <si>
    <t>拉主面布*1.1573</t>
  </si>
  <si>
    <t>拉主面布*1.4491</t>
  </si>
  <si>
    <t>拉布机</t>
  </si>
  <si>
    <t>E3</t>
  </si>
  <si>
    <t>裁剪主面布*15</t>
  </si>
  <si>
    <t>电脑裁剪</t>
  </si>
  <si>
    <t>D4</t>
  </si>
  <si>
    <t>主面布分包*15</t>
  </si>
  <si>
    <t>手工</t>
  </si>
  <si>
    <t>打编号*15</t>
  </si>
  <si>
    <t>面布验片/配补片*12</t>
  </si>
  <si>
    <t>拉袋布*0.0451</t>
  </si>
  <si>
    <t>拉袋布*0.1627</t>
  </si>
  <si>
    <t>裁剪袋布*4</t>
  </si>
  <si>
    <t>袋布分包*4(大包）</t>
  </si>
  <si>
    <t>E1</t>
  </si>
  <si>
    <t>拉衬布*0.0316</t>
  </si>
  <si>
    <t>拉衬布*0.0201</t>
  </si>
  <si>
    <t>裁剪衬布*2（气眼衬算一片）</t>
  </si>
  <si>
    <t>电脑裁床</t>
  </si>
  <si>
    <t>衬分大包*1</t>
  </si>
  <si>
    <t>烫面筒衬*1</t>
  </si>
  <si>
    <t>中烫（气烫）</t>
  </si>
  <si>
    <t>烫帽气眼衬*2</t>
  </si>
  <si>
    <t>烫后中标/撕标*1</t>
  </si>
  <si>
    <t>烫标机</t>
  </si>
  <si>
    <t>烫后下标/撕标*1</t>
  </si>
  <si>
    <t>下裁片</t>
    <phoneticPr fontId="2" type="noConversion"/>
  </si>
  <si>
    <t>2-小部件/门筒/袖口/下摆</t>
  </si>
  <si>
    <t>领织带缩水连回/米</t>
  </si>
  <si>
    <t>平车运翻底门筒两端暗线*1（修止口）</t>
  </si>
  <si>
    <t>平车运翻底门筒两端暗线*1（修止口）实样运弧形一端</t>
  </si>
  <si>
    <t>电脑平车</t>
  </si>
  <si>
    <t>C3</t>
  </si>
  <si>
    <t>中烫烫平底门筒*1</t>
  </si>
  <si>
    <t>中烫烫平底门筒*1（一片式门筒）</t>
  </si>
  <si>
    <t>D2</t>
  </si>
  <si>
    <t>四线锁内门筒*1</t>
  </si>
  <si>
    <t>四线锁内门筒（车台定位定宽窄)*1</t>
  </si>
  <si>
    <t>电脑四线锁边车</t>
  </si>
  <si>
    <t>C1</t>
  </si>
  <si>
    <t>平车折订拉链头码带2*1</t>
  </si>
  <si>
    <t>D3</t>
  </si>
  <si>
    <t>手工模板合指拇洞*2</t>
  </si>
  <si>
    <t>手工模板合指拇洞暗线*2（分三段）</t>
  </si>
  <si>
    <t>平车开骨合指姆洞暗线及翻2*2</t>
  </si>
  <si>
    <t>锁链车开骨合指姆洞暗线及翻2*2（拇指扣位已固定）</t>
  </si>
  <si>
    <t>电脑单针锁链车</t>
  </si>
  <si>
    <t>C4</t>
  </si>
  <si>
    <t>打拇指扣枣位2*2</t>
  </si>
  <si>
    <t>电脑打枣车</t>
  </si>
  <si>
    <t>E4</t>
  </si>
  <si>
    <t>平车拼接下摆拼缝连打刀口2*1</t>
  </si>
  <si>
    <t>中烫开骨烫下摆拼缝2*1</t>
  </si>
  <si>
    <t>下袋布</t>
  </si>
  <si>
    <t>3-帽子</t>
  </si>
  <si>
    <t>冲帽气眼孔*2</t>
  </si>
  <si>
    <t>冲帽气眼孔*2（车台定位）</t>
  </si>
  <si>
    <t>啤机</t>
  </si>
  <si>
    <t>打帽气眼放胶垫*2</t>
  </si>
  <si>
    <t>四线合里帽中缝*2</t>
  </si>
  <si>
    <t>四线合面帽中缝落定位条*2</t>
  </si>
  <si>
    <t>单针冚车压帽中缝明线*2</t>
  </si>
  <si>
    <t>电脑单针双线冚车</t>
  </si>
  <si>
    <t>四线对位合里面帽檐暗线*1</t>
  </si>
  <si>
    <t>平车固定里面帽定位条*2</t>
  </si>
  <si>
    <t>平车、翻帽子对位固定帽底边线*1</t>
  </si>
  <si>
    <t>平车、翻帽子对位固定帽底边线*1 (针脚调稀）</t>
  </si>
  <si>
    <t>中烫整烫帽檐*1</t>
  </si>
  <si>
    <t>单针冚车冚帽檐宽线*1</t>
  </si>
  <si>
    <t>单针冚车冚帽檐宽线*1（已中烫）</t>
  </si>
  <si>
    <t>B1</t>
  </si>
  <si>
    <t>手工穿帽绳（调节帽绳长短）*1</t>
  </si>
  <si>
    <t>4-前片</t>
    <phoneticPr fontId="2" type="noConversion"/>
  </si>
  <si>
    <t>模板落袋布于前袋口转角暗线连压袋口暗边线*2</t>
  </si>
  <si>
    <t>自动模板落前袋口转角暗线连压暗边线*2</t>
  </si>
  <si>
    <t>全自动模板机</t>
  </si>
  <si>
    <t>手工打袋口两端刀口*2</t>
  </si>
  <si>
    <t>模板落袋布一周及侧缝排肶</t>
  </si>
  <si>
    <t>自动模板固定前袋口上下、固定袋布下摆、前中位连合侧缝袋口位*2</t>
  </si>
  <si>
    <t>平车排比袋口</t>
  </si>
  <si>
    <t>平车固定侧缝拉链袋口位一段*2（模板已合、部分不到位、平车在固一次）</t>
  </si>
  <si>
    <t>四线合前袋布顶*2</t>
  </si>
  <si>
    <t>未用工序</t>
    <phoneticPr fontId="2" type="noConversion"/>
  </si>
  <si>
    <t>中烫前袋口*2</t>
  </si>
  <si>
    <t>平车订前袋打枣位2*2</t>
  </si>
  <si>
    <t>5-组合</t>
  </si>
  <si>
    <t>挂片</t>
  </si>
  <si>
    <t>挂片/配补片</t>
  </si>
  <si>
    <t>B+</t>
  </si>
  <si>
    <t>四线上前后插肩袖2*2</t>
  </si>
  <si>
    <t>四线合前侧缝连袖底缝*2</t>
  </si>
  <si>
    <t>四线合前侧缝连袖底缝*2（已排肶）</t>
  </si>
  <si>
    <t>四线对位上袖口*2</t>
  </si>
  <si>
    <t>平车订洗标、ID标于后侧缝*1</t>
  </si>
  <si>
    <t>平车订洗标、ID标于后侧缝（车台定位）*1</t>
  </si>
  <si>
    <t>四线对位上帽*1</t>
  </si>
  <si>
    <t>四线对位上帽*1（比帽咀高低）</t>
  </si>
  <si>
    <t>B2</t>
  </si>
  <si>
    <t>平车拉筒拉领圈弹力织带*1</t>
  </si>
  <si>
    <t>平车压领织带明线</t>
  </si>
  <si>
    <t>平车压领织带明线连落透明挂耳、主标（弹力织带）*1</t>
  </si>
  <si>
    <t>B3</t>
  </si>
  <si>
    <t>量剪透明挂耳*1连落透明挂耳、主标*1</t>
  </si>
  <si>
    <t>量剪透明挂耳*1（车台定位几根一剪）</t>
  </si>
  <si>
    <t>手工比前袋下摆高低位*2</t>
  </si>
  <si>
    <t>手工比前袋下摆高低位*2（套起做）</t>
  </si>
  <si>
    <t>平车对位上下摆侧缝骨位2*1</t>
  </si>
  <si>
    <t>四线对位折上下摆*1</t>
  </si>
  <si>
    <t>四线对位折上下摆*1(侧缝位置已固定）</t>
  </si>
  <si>
    <t>四线锁前中散口*2</t>
  </si>
  <si>
    <t>D1</t>
  </si>
  <si>
    <t>中烫熏烫前片前中位置*2</t>
  </si>
  <si>
    <t>中烫台面定位熏烫前片前中位置点长短位*2（裁片）</t>
  </si>
  <si>
    <t>中烫拔烫前中拉链*1</t>
  </si>
  <si>
    <t>自动模板对位上前中拉链连落底门筒2*1</t>
  </si>
  <si>
    <t>小型全自动模板机</t>
  </si>
  <si>
    <t>封拉链头位</t>
  </si>
  <si>
    <t>平车上一边拉链尾一段*1（2-3cm）</t>
  </si>
  <si>
    <t>平车压前中拉链明线*2</t>
  </si>
  <si>
    <t>中查</t>
  </si>
  <si>
    <t>检验</t>
  </si>
  <si>
    <t>组检成品</t>
  </si>
  <si>
    <t>6-专机</t>
  </si>
  <si>
    <t>打袋口枣*4</t>
  </si>
  <si>
    <t>打帽中枣*1（固定帽绳）</t>
  </si>
  <si>
    <t>尾部收货</t>
  </si>
  <si>
    <t>7-尾部</t>
  </si>
  <si>
    <t>大烫</t>
  </si>
  <si>
    <t>大烫（整件倒骨）</t>
  </si>
  <si>
    <t>整烫（尾部）</t>
  </si>
  <si>
    <t>尾查</t>
  </si>
  <si>
    <t>检验/剪线毛</t>
  </si>
  <si>
    <t>尾查（成品）</t>
  </si>
  <si>
    <t>分色/分码</t>
  </si>
  <si>
    <t>分PO</t>
  </si>
  <si>
    <t>穿挂吊牌*1</t>
  </si>
  <si>
    <t>查码</t>
  </si>
  <si>
    <t>包装搬运</t>
  </si>
  <si>
    <t>枪针固定尺码条两端*1（含贴尺码条）</t>
  </si>
  <si>
    <t>贴胶袋贴纸*1（网单）</t>
  </si>
  <si>
    <t>单件折叠（叠成豆腐块）*1</t>
  </si>
  <si>
    <t>单件装袋自动封口*1（网单）</t>
  </si>
  <si>
    <t>验针</t>
  </si>
  <si>
    <t>装箱前检查包装</t>
  </si>
  <si>
    <t>白色入中胶袋6件*1（12688件）</t>
  </si>
  <si>
    <t>独色独码装箱25件（拉纸箱、写箱号、封箱底、套胶袋、放天地板、放干燥剂、封箱、贴箱贴*4、称重）网单</t>
  </si>
  <si>
    <t>混色混码39件(写箱号 贴箱贴*4 封箱 装箱 放天地板 封箱 称箱 放箱)</t>
  </si>
  <si>
    <t>拉箱入库</t>
  </si>
  <si>
    <t>重庆尚上服饰有限公司</t>
  </si>
  <si>
    <t>============</t>
  </si>
  <si>
    <t>======</t>
  </si>
  <si>
    <t>4-前片</t>
  </si>
  <si>
    <t>==========</t>
  </si>
  <si>
    <t>========</t>
  </si>
  <si>
    <t>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</si>
</sst>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 "/>
    <numFmt numFmtId="165" formatCode="0_ "/>
    <numFmt numFmtId="166" formatCode="0.0000_ "/>
    <numFmt numFmtId="167" formatCode="0.0000"/>
  </numFmts>
  <fonts count="9">
    <font>
      <sz val="11"/>
      <color theme="1"/>
      <name val="Calibri"/>
      <family val="2"/>
      <scheme val="minor"/>
    </font>
    <font>
      <b/>
      <sz val="16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20"/>
      <color theme="1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vertical="center"/>
    </xf>
    <xf numFmtId="166" fontId="3" fillId="6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vertical="center"/>
    </xf>
    <xf numFmtId="49" fontId="3" fillId="7" borderId="1" xfId="0" applyNumberFormat="1" applyFont="1" applyFill="1" applyBorder="1" applyAlignment="1">
      <alignment vertical="center" wrapText="1"/>
    </xf>
    <xf numFmtId="164" fontId="3" fillId="7" borderId="1" xfId="0" applyNumberFormat="1" applyFont="1" applyFill="1" applyBorder="1" applyAlignment="1">
      <alignment vertical="center"/>
    </xf>
    <xf numFmtId="165" fontId="3" fillId="7" borderId="1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</xdr:colOff>
      <xdr:row>4</xdr:row>
      <xdr:rowOff>127000</xdr:rowOff>
    </xdr:from>
    <xdr:to>
      <xdr:col>7</xdr:col>
      <xdr:colOff>219075</xdr:colOff>
      <xdr:row>16</xdr:row>
      <xdr:rowOff>130175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3715D6C-8ECA-4021-A2AC-859F17E72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675" y="1012825"/>
          <a:ext cx="2879725" cy="203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292101</xdr:colOff>
      <xdr:row>2</xdr:row>
      <xdr:rowOff>50800</xdr:rowOff>
    </xdr:from>
    <xdr:to>
      <xdr:col>8</xdr:col>
      <xdr:colOff>485776</xdr:colOff>
      <xdr:row>14</xdr:row>
      <xdr:rowOff>76200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7F1F987-E8FF-4FBF-915D-24C3E8EB2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6726" y="365125"/>
          <a:ext cx="2222500" cy="128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63CF-5D69-4D79-8A0F-6E9EC104F302}">
  <dimension ref="A1:H118"/>
  <sheetViews>
    <sheetView workbookViewId="0">
      <selection activeCell="L43" sqref="L43"/>
    </sheetView>
  </sheetViews>
  <sheetFormatPr defaultRowHeight="14.25"/>
  <cols>
    <col min="1" max="8" width="11.73046875" customWidth="1"/>
  </cols>
  <sheetData>
    <row r="1" spans="1:8" ht="25.5">
      <c r="A1" s="37" t="s">
        <v>186</v>
      </c>
      <c r="B1" s="37"/>
      <c r="C1" s="37"/>
      <c r="D1" s="37"/>
      <c r="E1" s="37"/>
      <c r="F1" s="37"/>
      <c r="G1" s="37"/>
      <c r="H1" s="1"/>
    </row>
    <row r="2" spans="1:8" ht="21">
      <c r="A2" s="38" t="s">
        <v>1</v>
      </c>
      <c r="B2" s="38"/>
      <c r="C2" s="38"/>
      <c r="D2" s="38"/>
      <c r="E2" s="38"/>
      <c r="F2" s="38"/>
      <c r="G2" s="38"/>
      <c r="H2" s="1"/>
    </row>
    <row r="3" spans="1:8">
      <c r="A3" s="33" t="s">
        <v>2</v>
      </c>
      <c r="B3" s="33"/>
      <c r="C3" s="33"/>
      <c r="D3" s="33"/>
      <c r="E3" s="33"/>
      <c r="F3" s="33"/>
      <c r="G3" s="33"/>
      <c r="H3" s="1"/>
    </row>
    <row r="4" spans="1:8">
      <c r="A4" s="2" t="s">
        <v>3</v>
      </c>
      <c r="B4" s="39" t="s">
        <v>4</v>
      </c>
      <c r="C4" s="39"/>
      <c r="D4" s="39"/>
      <c r="E4" s="40"/>
      <c r="F4" s="40"/>
      <c r="G4" s="40"/>
      <c r="H4" s="1"/>
    </row>
    <row r="5" spans="1:8">
      <c r="A5" s="2" t="s">
        <v>5</v>
      </c>
      <c r="B5" s="33" t="s">
        <v>6</v>
      </c>
      <c r="C5" s="33"/>
      <c r="D5" s="33"/>
      <c r="E5" s="40"/>
      <c r="F5" s="40"/>
      <c r="G5" s="40"/>
      <c r="H5" s="1"/>
    </row>
    <row r="6" spans="1:8">
      <c r="A6" s="2" t="s">
        <v>7</v>
      </c>
      <c r="B6" s="39" t="s">
        <v>4</v>
      </c>
      <c r="C6" s="39"/>
      <c r="D6" s="39"/>
      <c r="E6" s="40"/>
      <c r="F6" s="40"/>
      <c r="G6" s="40"/>
      <c r="H6" s="1"/>
    </row>
    <row r="7" spans="1:8">
      <c r="A7" s="2" t="s">
        <v>8</v>
      </c>
      <c r="B7" s="34" t="s">
        <v>9</v>
      </c>
      <c r="C7" s="34"/>
      <c r="D7" s="34"/>
      <c r="E7" s="40"/>
      <c r="F7" s="40"/>
      <c r="G7" s="40"/>
      <c r="H7" s="1"/>
    </row>
    <row r="8" spans="1:8">
      <c r="A8" s="2" t="s">
        <v>10</v>
      </c>
      <c r="B8" s="34"/>
      <c r="C8" s="34"/>
      <c r="D8" s="34"/>
      <c r="E8" s="40"/>
      <c r="F8" s="40"/>
      <c r="G8" s="40"/>
      <c r="H8" s="1"/>
    </row>
    <row r="9" spans="1:8">
      <c r="A9" s="2" t="s">
        <v>11</v>
      </c>
      <c r="B9" s="33"/>
      <c r="C9" s="33"/>
      <c r="D9" s="33"/>
      <c r="E9" s="40"/>
      <c r="F9" s="40"/>
      <c r="G9" s="40"/>
      <c r="H9" s="1"/>
    </row>
    <row r="10" spans="1:8">
      <c r="A10" s="4" t="s">
        <v>12</v>
      </c>
      <c r="B10" s="33"/>
      <c r="C10" s="33"/>
      <c r="D10" s="33"/>
      <c r="E10" s="40"/>
      <c r="F10" s="40"/>
      <c r="G10" s="40"/>
      <c r="H10" s="1"/>
    </row>
    <row r="11" spans="1:8" ht="26.25">
      <c r="A11" s="4" t="s">
        <v>13</v>
      </c>
      <c r="B11" s="35"/>
      <c r="C11" s="35"/>
      <c r="D11" s="35"/>
      <c r="E11" s="40"/>
      <c r="F11" s="40"/>
      <c r="G11" s="40"/>
      <c r="H11" s="1"/>
    </row>
    <row r="12" spans="1:8">
      <c r="A12" s="2" t="s">
        <v>14</v>
      </c>
      <c r="B12" s="33"/>
      <c r="C12" s="33"/>
      <c r="D12" s="33"/>
      <c r="E12" s="40"/>
      <c r="F12" s="40"/>
      <c r="G12" s="40"/>
      <c r="H12" s="1"/>
    </row>
    <row r="13" spans="1:8">
      <c r="A13" s="2" t="s">
        <v>15</v>
      </c>
      <c r="B13" s="36"/>
      <c r="C13" s="36"/>
      <c r="D13" s="36"/>
      <c r="E13" s="40"/>
      <c r="F13" s="40"/>
      <c r="G13" s="40"/>
      <c r="H13" s="1"/>
    </row>
    <row r="14" spans="1:8">
      <c r="A14" s="4" t="s">
        <v>16</v>
      </c>
      <c r="B14" s="33"/>
      <c r="C14" s="33"/>
      <c r="D14" s="33"/>
      <c r="E14" s="40"/>
      <c r="F14" s="40"/>
      <c r="G14" s="40"/>
      <c r="H14" s="1"/>
    </row>
    <row r="15" spans="1:8">
      <c r="A15" s="4" t="s">
        <v>17</v>
      </c>
      <c r="B15" s="33"/>
      <c r="C15" s="33"/>
      <c r="D15" s="33"/>
      <c r="E15" s="40"/>
      <c r="F15" s="40"/>
      <c r="G15" s="40"/>
      <c r="H15" s="1"/>
    </row>
    <row r="16" spans="1:8">
      <c r="A16" s="4" t="s">
        <v>18</v>
      </c>
      <c r="B16" s="33"/>
      <c r="C16" s="33"/>
      <c r="D16" s="33"/>
      <c r="E16" s="40"/>
      <c r="F16" s="40"/>
      <c r="G16" s="40"/>
      <c r="H16" s="1"/>
    </row>
    <row r="17" spans="1:8">
      <c r="A17" s="4" t="s">
        <v>19</v>
      </c>
      <c r="B17" s="33"/>
      <c r="C17" s="33"/>
      <c r="D17" s="33"/>
      <c r="E17" s="40"/>
      <c r="F17" s="40"/>
      <c r="G17" s="40"/>
      <c r="H17" s="1"/>
    </row>
    <row r="18" spans="1:8">
      <c r="A18" s="2" t="s">
        <v>20</v>
      </c>
      <c r="B18" s="34"/>
      <c r="C18" s="34"/>
      <c r="D18" s="34"/>
      <c r="E18" s="40"/>
      <c r="F18" s="40"/>
      <c r="G18" s="40"/>
      <c r="H18" s="1"/>
    </row>
    <row r="19" spans="1:8">
      <c r="A19" s="2" t="s">
        <v>21</v>
      </c>
      <c r="B19" s="33" t="s">
        <v>22</v>
      </c>
      <c r="C19" s="33"/>
      <c r="D19" s="33"/>
      <c r="E19" s="40"/>
      <c r="F19" s="40"/>
      <c r="G19" s="40"/>
      <c r="H19" s="1"/>
    </row>
    <row r="20" spans="1:8">
      <c r="A20" s="5" t="s">
        <v>23</v>
      </c>
      <c r="B20" s="5" t="s">
        <v>24</v>
      </c>
      <c r="C20" s="5" t="s">
        <v>25</v>
      </c>
      <c r="D20" s="5" t="s">
        <v>26</v>
      </c>
      <c r="E20" s="5" t="s">
        <v>27</v>
      </c>
      <c r="F20" s="5" t="s">
        <v>28</v>
      </c>
      <c r="G20" s="5" t="s">
        <v>29</v>
      </c>
      <c r="H20" s="1"/>
    </row>
    <row r="21" spans="1:8">
      <c r="A21" s="3"/>
      <c r="B21" s="2" t="s">
        <v>30</v>
      </c>
      <c r="C21" s="2"/>
      <c r="D21" s="2"/>
      <c r="E21" s="2"/>
      <c r="F21" s="2"/>
      <c r="G21" s="2"/>
      <c r="H21" s="1"/>
    </row>
    <row r="22" spans="1:8" ht="26.25">
      <c r="A22" s="10">
        <v>1</v>
      </c>
      <c r="B22" s="8" t="s">
        <v>32</v>
      </c>
      <c r="C22" s="8" t="s">
        <v>33</v>
      </c>
      <c r="D22" s="9">
        <v>7.2</v>
      </c>
      <c r="E22" s="9">
        <v>8.1</v>
      </c>
      <c r="F22" s="10" t="s">
        <v>34</v>
      </c>
      <c r="G22" s="11">
        <v>444</v>
      </c>
      <c r="H22" s="1"/>
    </row>
    <row r="23" spans="1:8" ht="26.25">
      <c r="A23" s="10">
        <v>2</v>
      </c>
      <c r="B23" s="8" t="s">
        <v>38</v>
      </c>
      <c r="C23" s="8" t="s">
        <v>39</v>
      </c>
      <c r="D23" s="9">
        <v>21.5</v>
      </c>
      <c r="E23" s="9">
        <v>24.2</v>
      </c>
      <c r="F23" s="10" t="s">
        <v>40</v>
      </c>
      <c r="G23" s="11">
        <v>149</v>
      </c>
      <c r="H23" s="1"/>
    </row>
    <row r="24" spans="1:8" ht="26.25">
      <c r="A24" s="10">
        <v>3</v>
      </c>
      <c r="B24" s="8" t="s">
        <v>41</v>
      </c>
      <c r="C24" s="8" t="s">
        <v>42</v>
      </c>
      <c r="D24" s="9">
        <v>15.8</v>
      </c>
      <c r="E24" s="9">
        <v>15.8</v>
      </c>
      <c r="F24" s="10" t="s">
        <v>43</v>
      </c>
      <c r="G24" s="11">
        <v>228</v>
      </c>
      <c r="H24" s="1"/>
    </row>
    <row r="25" spans="1:8" ht="26.25">
      <c r="A25" s="10">
        <v>4</v>
      </c>
      <c r="B25" s="8" t="s">
        <v>44</v>
      </c>
      <c r="C25" s="8" t="s">
        <v>45</v>
      </c>
      <c r="D25" s="9">
        <v>17</v>
      </c>
      <c r="E25" s="9">
        <v>18.8</v>
      </c>
      <c r="F25" s="10" t="s">
        <v>34</v>
      </c>
      <c r="G25" s="11">
        <v>191</v>
      </c>
      <c r="H25" s="1"/>
    </row>
    <row r="26" spans="1:8">
      <c r="A26" s="10">
        <v>5</v>
      </c>
      <c r="B26" s="8" t="s">
        <v>46</v>
      </c>
      <c r="C26" s="8" t="s">
        <v>45</v>
      </c>
      <c r="D26" s="9">
        <v>17</v>
      </c>
      <c r="E26" s="9">
        <v>18.8</v>
      </c>
      <c r="F26" s="10" t="s">
        <v>34</v>
      </c>
      <c r="G26" s="11">
        <v>191</v>
      </c>
      <c r="H26" s="1"/>
    </row>
    <row r="27" spans="1:8" ht="26.25">
      <c r="A27" s="10">
        <v>6</v>
      </c>
      <c r="B27" s="8" t="s">
        <v>36</v>
      </c>
      <c r="C27" s="8" t="s">
        <v>33</v>
      </c>
      <c r="D27" s="9">
        <v>0.8</v>
      </c>
      <c r="E27" s="9">
        <v>0.9</v>
      </c>
      <c r="F27" s="10" t="s">
        <v>34</v>
      </c>
      <c r="G27" s="11">
        <v>4000</v>
      </c>
      <c r="H27" s="1"/>
    </row>
    <row r="28" spans="1:8" ht="26.25">
      <c r="A28" s="10">
        <v>7</v>
      </c>
      <c r="B28" s="8" t="s">
        <v>49</v>
      </c>
      <c r="C28" s="8" t="s">
        <v>39</v>
      </c>
      <c r="D28" s="9">
        <v>2.1</v>
      </c>
      <c r="E28" s="9">
        <v>2.4</v>
      </c>
      <c r="F28" s="10" t="s">
        <v>40</v>
      </c>
      <c r="G28" s="11">
        <v>1500</v>
      </c>
      <c r="H28" s="1"/>
    </row>
    <row r="29" spans="1:8" ht="26.25">
      <c r="A29" s="10">
        <v>8</v>
      </c>
      <c r="B29" s="8" t="s">
        <v>47</v>
      </c>
      <c r="C29" s="8" t="s">
        <v>45</v>
      </c>
      <c r="D29" s="9">
        <v>26.3</v>
      </c>
      <c r="E29" s="9">
        <v>29.1</v>
      </c>
      <c r="F29" s="10" t="s">
        <v>40</v>
      </c>
      <c r="G29" s="11">
        <v>124</v>
      </c>
      <c r="H29" s="1"/>
    </row>
    <row r="30" spans="1:8">
      <c r="A30" s="10">
        <v>9</v>
      </c>
      <c r="B30" s="8" t="s">
        <v>50</v>
      </c>
      <c r="C30" s="8" t="s">
        <v>42</v>
      </c>
      <c r="D30" s="9">
        <v>2.1</v>
      </c>
      <c r="E30" s="9">
        <v>2.1</v>
      </c>
      <c r="F30" s="10" t="s">
        <v>43</v>
      </c>
      <c r="G30" s="11">
        <v>1714</v>
      </c>
      <c r="H30" s="1"/>
    </row>
    <row r="31" spans="1:8" ht="26.25">
      <c r="A31" s="10">
        <v>10</v>
      </c>
      <c r="B31" s="8" t="s">
        <v>51</v>
      </c>
      <c r="C31" s="8" t="s">
        <v>45</v>
      </c>
      <c r="D31" s="9">
        <v>1.8</v>
      </c>
      <c r="E31" s="9">
        <v>2</v>
      </c>
      <c r="F31" s="10" t="s">
        <v>52</v>
      </c>
      <c r="G31" s="11">
        <v>1800</v>
      </c>
      <c r="H31" s="1"/>
    </row>
    <row r="32" spans="1:8" ht="26.25">
      <c r="A32" s="10">
        <v>11</v>
      </c>
      <c r="B32" s="8" t="s">
        <v>54</v>
      </c>
      <c r="C32" s="8" t="s">
        <v>39</v>
      </c>
      <c r="D32" s="9">
        <v>0.3</v>
      </c>
      <c r="E32" s="9">
        <v>0.3</v>
      </c>
      <c r="F32" s="10" t="s">
        <v>34</v>
      </c>
      <c r="G32" s="11">
        <v>12000</v>
      </c>
      <c r="H32" s="1"/>
    </row>
    <row r="33" spans="1:8" ht="39.4">
      <c r="A33" s="10">
        <v>12</v>
      </c>
      <c r="B33" s="8" t="s">
        <v>55</v>
      </c>
      <c r="C33" s="8" t="s">
        <v>56</v>
      </c>
      <c r="D33" s="9">
        <v>0.5</v>
      </c>
      <c r="E33" s="9">
        <v>0.5</v>
      </c>
      <c r="F33" s="10" t="s">
        <v>43</v>
      </c>
      <c r="G33" s="11">
        <v>7200</v>
      </c>
      <c r="H33" s="1"/>
    </row>
    <row r="34" spans="1:8">
      <c r="A34" s="10">
        <v>13</v>
      </c>
      <c r="B34" s="8" t="s">
        <v>57</v>
      </c>
      <c r="C34" s="8" t="s">
        <v>45</v>
      </c>
      <c r="D34" s="9">
        <v>0.2</v>
      </c>
      <c r="E34" s="9">
        <v>0.2</v>
      </c>
      <c r="F34" s="10" t="s">
        <v>52</v>
      </c>
      <c r="G34" s="11">
        <v>18000</v>
      </c>
      <c r="H34" s="1"/>
    </row>
    <row r="35" spans="1:8">
      <c r="A35" s="10">
        <v>14</v>
      </c>
      <c r="B35" s="8" t="s">
        <v>58</v>
      </c>
      <c r="C35" s="8" t="s">
        <v>59</v>
      </c>
      <c r="D35" s="9">
        <v>14</v>
      </c>
      <c r="E35" s="9">
        <v>15.8</v>
      </c>
      <c r="F35" s="10" t="s">
        <v>34</v>
      </c>
      <c r="G35" s="11">
        <v>228</v>
      </c>
      <c r="H35" s="1"/>
    </row>
    <row r="36" spans="1:8">
      <c r="A36" s="10">
        <v>15</v>
      </c>
      <c r="B36" s="8" t="s">
        <v>60</v>
      </c>
      <c r="C36" s="8" t="s">
        <v>59</v>
      </c>
      <c r="D36" s="9">
        <v>11.3</v>
      </c>
      <c r="E36" s="9">
        <v>12.7</v>
      </c>
      <c r="F36" s="10" t="s">
        <v>34</v>
      </c>
      <c r="G36" s="11">
        <v>283</v>
      </c>
      <c r="H36" s="1"/>
    </row>
    <row r="37" spans="1:8" ht="26.25">
      <c r="A37" s="10">
        <v>16</v>
      </c>
      <c r="B37" s="8" t="s">
        <v>61</v>
      </c>
      <c r="C37" s="8" t="s">
        <v>62</v>
      </c>
      <c r="D37" s="9">
        <v>21.2</v>
      </c>
      <c r="E37" s="9">
        <v>21.2</v>
      </c>
      <c r="F37" s="10" t="s">
        <v>40</v>
      </c>
      <c r="G37" s="11">
        <v>170</v>
      </c>
      <c r="H37" s="1"/>
    </row>
    <row r="38" spans="1:8" ht="26.25">
      <c r="A38" s="10">
        <v>17</v>
      </c>
      <c r="B38" s="8" t="s">
        <v>63</v>
      </c>
      <c r="C38" s="8" t="s">
        <v>62</v>
      </c>
      <c r="D38" s="9">
        <v>19.7</v>
      </c>
      <c r="E38" s="9">
        <v>19.7</v>
      </c>
      <c r="F38" s="10" t="s">
        <v>40</v>
      </c>
      <c r="G38" s="11">
        <v>183</v>
      </c>
      <c r="H38" s="1"/>
    </row>
    <row r="39" spans="1:8">
      <c r="A39" s="3"/>
      <c r="B39" s="2" t="s">
        <v>65</v>
      </c>
      <c r="C39" s="2"/>
      <c r="D39" s="2"/>
      <c r="E39" s="2"/>
      <c r="F39" s="2"/>
      <c r="G39" s="2"/>
      <c r="H39" s="1"/>
    </row>
    <row r="40" spans="1:8" ht="26.25">
      <c r="A40" s="10">
        <v>18</v>
      </c>
      <c r="B40" s="8" t="s">
        <v>66</v>
      </c>
      <c r="C40" s="8" t="s">
        <v>45</v>
      </c>
      <c r="D40" s="9">
        <v>4</v>
      </c>
      <c r="E40" s="9">
        <v>4.4000000000000004</v>
      </c>
      <c r="F40" s="10" t="s">
        <v>52</v>
      </c>
      <c r="G40" s="11">
        <v>818</v>
      </c>
      <c r="H40" s="1"/>
    </row>
    <row r="41" spans="1:8" ht="52.5">
      <c r="A41" s="10">
        <v>19</v>
      </c>
      <c r="B41" s="8" t="s">
        <v>68</v>
      </c>
      <c r="C41" s="8" t="s">
        <v>69</v>
      </c>
      <c r="D41" s="9">
        <v>23.1</v>
      </c>
      <c r="E41" s="9">
        <v>28.3</v>
      </c>
      <c r="F41" s="10" t="s">
        <v>70</v>
      </c>
      <c r="G41" s="11">
        <v>127</v>
      </c>
      <c r="H41" s="1"/>
    </row>
    <row r="42" spans="1:8" ht="39.4">
      <c r="A42" s="10">
        <v>20</v>
      </c>
      <c r="B42" s="8" t="s">
        <v>72</v>
      </c>
      <c r="C42" s="8" t="s">
        <v>59</v>
      </c>
      <c r="D42" s="9">
        <v>19.100000000000001</v>
      </c>
      <c r="E42" s="9">
        <v>23.7</v>
      </c>
      <c r="F42" s="10" t="s">
        <v>73</v>
      </c>
      <c r="G42" s="11">
        <v>152</v>
      </c>
      <c r="H42" s="1"/>
    </row>
    <row r="43" spans="1:8" ht="39.4">
      <c r="A43" s="10">
        <v>21</v>
      </c>
      <c r="B43" s="8" t="s">
        <v>75</v>
      </c>
      <c r="C43" s="8" t="s">
        <v>76</v>
      </c>
      <c r="D43" s="9">
        <v>12.5</v>
      </c>
      <c r="E43" s="9">
        <v>14.2</v>
      </c>
      <c r="F43" s="10" t="s">
        <v>77</v>
      </c>
      <c r="G43" s="11">
        <v>254</v>
      </c>
      <c r="H43" s="1"/>
    </row>
    <row r="44" spans="1:8">
      <c r="A44" s="10">
        <v>22</v>
      </c>
      <c r="B44" s="8" t="s">
        <v>187</v>
      </c>
      <c r="C44" s="8"/>
      <c r="D44" s="9"/>
      <c r="E44" s="9"/>
      <c r="F44" s="10"/>
      <c r="G44" s="11"/>
      <c r="H44" s="1"/>
    </row>
    <row r="45" spans="1:8" ht="26.25">
      <c r="A45" s="10">
        <v>86</v>
      </c>
      <c r="B45" s="8" t="s">
        <v>78</v>
      </c>
      <c r="C45" s="8" t="s">
        <v>69</v>
      </c>
      <c r="D45" s="9">
        <v>8.1</v>
      </c>
      <c r="E45" s="9">
        <v>8.9</v>
      </c>
      <c r="F45" s="10" t="s">
        <v>79</v>
      </c>
      <c r="G45" s="11">
        <v>404</v>
      </c>
      <c r="H45" s="1"/>
    </row>
    <row r="46" spans="1:8" ht="39.4">
      <c r="A46" s="10">
        <v>23</v>
      </c>
      <c r="B46" s="8" t="s">
        <v>81</v>
      </c>
      <c r="C46" s="8" t="s">
        <v>69</v>
      </c>
      <c r="D46" s="9">
        <v>32.799999999999997</v>
      </c>
      <c r="E46" s="9">
        <v>40.4</v>
      </c>
      <c r="F46" s="10" t="s">
        <v>77</v>
      </c>
      <c r="G46" s="11">
        <v>89</v>
      </c>
      <c r="H46" s="1"/>
    </row>
    <row r="47" spans="1:8" ht="52.5">
      <c r="A47" s="10">
        <v>24</v>
      </c>
      <c r="B47" s="8" t="s">
        <v>83</v>
      </c>
      <c r="C47" s="8" t="s">
        <v>84</v>
      </c>
      <c r="D47" s="9">
        <v>58.8</v>
      </c>
      <c r="E47" s="9">
        <v>71.8</v>
      </c>
      <c r="F47" s="10" t="s">
        <v>85</v>
      </c>
      <c r="G47" s="11">
        <v>50</v>
      </c>
      <c r="H47" s="1"/>
    </row>
    <row r="48" spans="1:8" ht="26.25">
      <c r="A48" s="10">
        <v>25</v>
      </c>
      <c r="B48" s="8" t="s">
        <v>86</v>
      </c>
      <c r="C48" s="8" t="s">
        <v>87</v>
      </c>
      <c r="D48" s="9">
        <v>18.3</v>
      </c>
      <c r="E48" s="9">
        <v>20.3</v>
      </c>
      <c r="F48" s="10" t="s">
        <v>88</v>
      </c>
      <c r="G48" s="11">
        <v>177</v>
      </c>
      <c r="H48" s="1"/>
    </row>
    <row r="49" spans="1:8" ht="39.4">
      <c r="A49" s="10">
        <v>26</v>
      </c>
      <c r="B49" s="8" t="s">
        <v>89</v>
      </c>
      <c r="C49" s="8" t="s">
        <v>69</v>
      </c>
      <c r="D49" s="9">
        <v>34.9</v>
      </c>
      <c r="E49" s="9">
        <v>42.9</v>
      </c>
      <c r="F49" s="10" t="s">
        <v>85</v>
      </c>
      <c r="G49" s="11">
        <v>84</v>
      </c>
      <c r="H49" s="1"/>
    </row>
    <row r="50" spans="1:8" ht="26.25">
      <c r="A50" s="10">
        <v>27</v>
      </c>
      <c r="B50" s="8" t="s">
        <v>90</v>
      </c>
      <c r="C50" s="8" t="s">
        <v>59</v>
      </c>
      <c r="D50" s="9">
        <v>11.3</v>
      </c>
      <c r="E50" s="9">
        <v>12.7</v>
      </c>
      <c r="F50" s="10" t="s">
        <v>43</v>
      </c>
      <c r="G50" s="11">
        <v>283</v>
      </c>
      <c r="H50" s="1"/>
    </row>
    <row r="51" spans="1:8" ht="39.4">
      <c r="A51" s="10">
        <v>28</v>
      </c>
      <c r="B51" s="8" t="s">
        <v>141</v>
      </c>
      <c r="C51" s="8" t="s">
        <v>45</v>
      </c>
      <c r="D51" s="9">
        <v>0.9</v>
      </c>
      <c r="E51" s="9">
        <v>1</v>
      </c>
      <c r="F51" s="10" t="s">
        <v>52</v>
      </c>
      <c r="G51" s="11">
        <v>3600</v>
      </c>
      <c r="H51" s="1"/>
    </row>
    <row r="52" spans="1:8">
      <c r="A52" s="3"/>
      <c r="B52" s="2" t="s">
        <v>92</v>
      </c>
      <c r="C52" s="2"/>
      <c r="D52" s="2"/>
      <c r="E52" s="2"/>
      <c r="F52" s="2"/>
      <c r="G52" s="2"/>
      <c r="H52" s="1"/>
    </row>
    <row r="53" spans="1:8" ht="26.25">
      <c r="A53" s="10">
        <v>29</v>
      </c>
      <c r="B53" s="8" t="s">
        <v>94</v>
      </c>
      <c r="C53" s="8" t="s">
        <v>95</v>
      </c>
      <c r="D53" s="9">
        <v>9.5</v>
      </c>
      <c r="E53" s="9">
        <v>11</v>
      </c>
      <c r="F53" s="10" t="s">
        <v>40</v>
      </c>
      <c r="G53" s="11">
        <v>327</v>
      </c>
      <c r="H53" s="1"/>
    </row>
    <row r="54" spans="1:8" ht="26.25">
      <c r="A54" s="10">
        <v>30</v>
      </c>
      <c r="B54" s="8" t="s">
        <v>96</v>
      </c>
      <c r="C54" s="8" t="s">
        <v>95</v>
      </c>
      <c r="D54" s="9">
        <v>18.2</v>
      </c>
      <c r="E54" s="9">
        <v>21.1</v>
      </c>
      <c r="F54" s="10" t="s">
        <v>88</v>
      </c>
      <c r="G54" s="11">
        <v>171</v>
      </c>
      <c r="H54" s="1"/>
    </row>
    <row r="55" spans="1:8" ht="26.25">
      <c r="A55" s="10">
        <v>31</v>
      </c>
      <c r="B55" s="8" t="s">
        <v>97</v>
      </c>
      <c r="C55" s="8" t="s">
        <v>76</v>
      </c>
      <c r="D55" s="9">
        <v>35.700000000000003</v>
      </c>
      <c r="E55" s="9">
        <v>45.9</v>
      </c>
      <c r="F55" s="10" t="s">
        <v>85</v>
      </c>
      <c r="G55" s="11">
        <v>78</v>
      </c>
      <c r="H55" s="1"/>
    </row>
    <row r="56" spans="1:8" ht="26.25">
      <c r="A56" s="10">
        <v>32</v>
      </c>
      <c r="B56" s="8" t="s">
        <v>98</v>
      </c>
      <c r="C56" s="8" t="s">
        <v>76</v>
      </c>
      <c r="D56" s="9">
        <v>40.700000000000003</v>
      </c>
      <c r="E56" s="9">
        <v>52.3</v>
      </c>
      <c r="F56" s="10" t="s">
        <v>85</v>
      </c>
      <c r="G56" s="11">
        <v>69</v>
      </c>
      <c r="H56" s="1"/>
    </row>
    <row r="57" spans="1:8" ht="26.25">
      <c r="A57" s="10">
        <v>33</v>
      </c>
      <c r="B57" s="8" t="s">
        <v>99</v>
      </c>
      <c r="C57" s="8" t="s">
        <v>100</v>
      </c>
      <c r="D57" s="9">
        <v>25.4</v>
      </c>
      <c r="E57" s="9">
        <v>33.1</v>
      </c>
      <c r="F57" s="10" t="s">
        <v>85</v>
      </c>
      <c r="G57" s="11">
        <v>109</v>
      </c>
      <c r="H57" s="1"/>
    </row>
    <row r="58" spans="1:8" ht="26.25">
      <c r="A58" s="10">
        <v>34</v>
      </c>
      <c r="B58" s="8" t="s">
        <v>101</v>
      </c>
      <c r="C58" s="8" t="s">
        <v>76</v>
      </c>
      <c r="D58" s="9">
        <v>28.9</v>
      </c>
      <c r="E58" s="9">
        <v>37.1</v>
      </c>
      <c r="F58" s="10" t="s">
        <v>85</v>
      </c>
      <c r="G58" s="11">
        <v>97</v>
      </c>
      <c r="H58" s="1"/>
    </row>
    <row r="59" spans="1:8" ht="26.25">
      <c r="A59" s="10">
        <v>35</v>
      </c>
      <c r="B59" s="8" t="s">
        <v>102</v>
      </c>
      <c r="C59" s="8" t="s">
        <v>69</v>
      </c>
      <c r="D59" s="9">
        <v>22.2</v>
      </c>
      <c r="E59" s="9">
        <v>27.1</v>
      </c>
      <c r="F59" s="10" t="s">
        <v>77</v>
      </c>
      <c r="G59" s="11">
        <v>133</v>
      </c>
      <c r="H59" s="1"/>
    </row>
    <row r="60" spans="1:8" ht="52.5">
      <c r="A60" s="10">
        <v>36</v>
      </c>
      <c r="B60" s="8" t="s">
        <v>104</v>
      </c>
      <c r="C60" s="8" t="s">
        <v>69</v>
      </c>
      <c r="D60" s="9">
        <v>23.5</v>
      </c>
      <c r="E60" s="9">
        <v>29.3</v>
      </c>
      <c r="F60" s="10" t="s">
        <v>77</v>
      </c>
      <c r="G60" s="11">
        <v>123</v>
      </c>
      <c r="H60" s="1"/>
    </row>
    <row r="61" spans="1:8" ht="26.25">
      <c r="A61" s="10">
        <v>85</v>
      </c>
      <c r="B61" s="8" t="s">
        <v>105</v>
      </c>
      <c r="C61" s="8" t="s">
        <v>59</v>
      </c>
      <c r="D61" s="9">
        <v>31.4</v>
      </c>
      <c r="E61" s="9">
        <v>40.6</v>
      </c>
      <c r="F61" s="10" t="s">
        <v>79</v>
      </c>
      <c r="G61" s="11">
        <v>89</v>
      </c>
      <c r="H61" s="1"/>
    </row>
    <row r="62" spans="1:8" ht="39.4">
      <c r="A62" s="10">
        <v>37</v>
      </c>
      <c r="B62" s="8" t="s">
        <v>107</v>
      </c>
      <c r="C62" s="8" t="s">
        <v>100</v>
      </c>
      <c r="D62" s="9">
        <v>21.7</v>
      </c>
      <c r="E62" s="9">
        <v>27</v>
      </c>
      <c r="F62" s="10" t="s">
        <v>108</v>
      </c>
      <c r="G62" s="11">
        <v>134</v>
      </c>
      <c r="H62" s="1"/>
    </row>
    <row r="63" spans="1:8" ht="39.4">
      <c r="A63" s="10">
        <v>38</v>
      </c>
      <c r="B63" s="8" t="s">
        <v>109</v>
      </c>
      <c r="C63" s="8" t="s">
        <v>45</v>
      </c>
      <c r="D63" s="9">
        <v>28.9</v>
      </c>
      <c r="E63" s="9">
        <v>32</v>
      </c>
      <c r="F63" s="10" t="s">
        <v>52</v>
      </c>
      <c r="G63" s="11">
        <v>113</v>
      </c>
      <c r="H63" s="1"/>
    </row>
    <row r="64" spans="1:8">
      <c r="A64" s="10">
        <v>39</v>
      </c>
      <c r="B64" s="8" t="s">
        <v>188</v>
      </c>
      <c r="C64" s="8" t="s">
        <v>69</v>
      </c>
      <c r="D64" s="9">
        <v>0</v>
      </c>
      <c r="E64" s="9">
        <v>0</v>
      </c>
      <c r="F64" s="10" t="s">
        <v>43</v>
      </c>
      <c r="G64" s="11">
        <v>0</v>
      </c>
      <c r="H64" s="1"/>
    </row>
    <row r="65" spans="1:8">
      <c r="A65" s="3"/>
      <c r="B65" s="2" t="s">
        <v>189</v>
      </c>
      <c r="C65" s="2"/>
      <c r="D65" s="2"/>
      <c r="E65" s="2"/>
      <c r="F65" s="2"/>
      <c r="G65" s="2"/>
      <c r="H65" s="1"/>
    </row>
    <row r="66" spans="1:8" ht="26.25">
      <c r="A66" s="10">
        <v>40</v>
      </c>
      <c r="B66" s="8" t="s">
        <v>190</v>
      </c>
      <c r="C66" s="8" t="s">
        <v>76</v>
      </c>
      <c r="D66" s="9">
        <v>0</v>
      </c>
      <c r="E66" s="9">
        <v>0</v>
      </c>
      <c r="F66" s="10" t="s">
        <v>148</v>
      </c>
      <c r="G66" s="11">
        <v>0</v>
      </c>
      <c r="H66" s="1"/>
    </row>
    <row r="67" spans="1:8" ht="39.4">
      <c r="A67" s="10">
        <v>41</v>
      </c>
      <c r="B67" s="8" t="s">
        <v>112</v>
      </c>
      <c r="C67" s="8" t="s">
        <v>113</v>
      </c>
      <c r="D67" s="9">
        <v>63.5</v>
      </c>
      <c r="E67" s="9">
        <v>80.2</v>
      </c>
      <c r="F67" s="10" t="s">
        <v>77</v>
      </c>
      <c r="G67" s="11">
        <v>45</v>
      </c>
      <c r="H67" s="1"/>
    </row>
    <row r="68" spans="1:8" ht="26.25">
      <c r="A68" s="10">
        <v>42</v>
      </c>
      <c r="B68" s="8" t="s">
        <v>114</v>
      </c>
      <c r="C68" s="8" t="s">
        <v>45</v>
      </c>
      <c r="D68" s="9">
        <v>13.7</v>
      </c>
      <c r="E68" s="9">
        <v>15.2</v>
      </c>
      <c r="F68" s="10" t="s">
        <v>77</v>
      </c>
      <c r="G68" s="11">
        <v>237</v>
      </c>
      <c r="H68" s="1"/>
    </row>
    <row r="69" spans="1:8">
      <c r="A69" s="10">
        <v>43</v>
      </c>
      <c r="B69" s="8" t="s">
        <v>191</v>
      </c>
      <c r="C69" s="8" t="s">
        <v>69</v>
      </c>
      <c r="D69" s="9">
        <v>0</v>
      </c>
      <c r="E69" s="9">
        <v>0</v>
      </c>
      <c r="F69" s="10" t="s">
        <v>85</v>
      </c>
      <c r="G69" s="11">
        <v>0</v>
      </c>
      <c r="H69" s="1"/>
    </row>
    <row r="70" spans="1:8" ht="26.25">
      <c r="A70" s="10">
        <v>44</v>
      </c>
      <c r="B70" s="8" t="s">
        <v>119</v>
      </c>
      <c r="C70" s="8" t="s">
        <v>76</v>
      </c>
      <c r="D70" s="9">
        <v>19.3</v>
      </c>
      <c r="E70" s="9">
        <v>24.7</v>
      </c>
      <c r="F70" s="10" t="s">
        <v>77</v>
      </c>
      <c r="G70" s="11">
        <v>146</v>
      </c>
      <c r="H70" s="1"/>
    </row>
    <row r="71" spans="1:8">
      <c r="A71" s="10">
        <v>45</v>
      </c>
      <c r="B71" s="8" t="s">
        <v>192</v>
      </c>
      <c r="C71" s="8" t="s">
        <v>69</v>
      </c>
      <c r="D71" s="9">
        <v>0</v>
      </c>
      <c r="E71" s="9">
        <v>0</v>
      </c>
      <c r="F71" s="10" t="s">
        <v>77</v>
      </c>
      <c r="G71" s="11">
        <v>0</v>
      </c>
      <c r="H71" s="1"/>
    </row>
    <row r="72" spans="1:8">
      <c r="A72" s="10">
        <v>46</v>
      </c>
      <c r="B72" s="8" t="s">
        <v>121</v>
      </c>
      <c r="C72" s="8" t="s">
        <v>59</v>
      </c>
      <c r="D72" s="9">
        <v>21.4</v>
      </c>
      <c r="E72" s="9">
        <v>26.5</v>
      </c>
      <c r="F72" s="10" t="s">
        <v>79</v>
      </c>
      <c r="G72" s="11">
        <v>136</v>
      </c>
      <c r="H72" s="1"/>
    </row>
    <row r="73" spans="1:8" ht="65.650000000000006">
      <c r="A73" s="19">
        <v>47</v>
      </c>
      <c r="B73" s="17" t="s">
        <v>116</v>
      </c>
      <c r="C73" s="17" t="s">
        <v>113</v>
      </c>
      <c r="D73" s="18">
        <v>108.5</v>
      </c>
      <c r="E73" s="18">
        <v>137.4</v>
      </c>
      <c r="F73" s="19" t="s">
        <v>77</v>
      </c>
      <c r="G73" s="20">
        <v>26</v>
      </c>
      <c r="H73" s="1"/>
    </row>
    <row r="74" spans="1:8" ht="26.25">
      <c r="A74" s="10">
        <v>80</v>
      </c>
      <c r="B74" s="8" t="s">
        <v>122</v>
      </c>
      <c r="C74" s="8" t="s">
        <v>69</v>
      </c>
      <c r="D74" s="9">
        <v>16.8</v>
      </c>
      <c r="E74" s="9">
        <v>19.399999999999999</v>
      </c>
      <c r="F74" s="10" t="s">
        <v>43</v>
      </c>
      <c r="G74" s="11">
        <v>185</v>
      </c>
      <c r="H74" s="1"/>
    </row>
    <row r="75" spans="1:8">
      <c r="A75" s="3"/>
      <c r="B75" s="2" t="s">
        <v>123</v>
      </c>
      <c r="C75" s="2"/>
      <c r="D75" s="2"/>
      <c r="E75" s="2"/>
      <c r="F75" s="2"/>
      <c r="G75" s="2"/>
      <c r="H75" s="1"/>
    </row>
    <row r="76" spans="1:8">
      <c r="A76" s="10">
        <v>48</v>
      </c>
      <c r="B76" s="8" t="s">
        <v>125</v>
      </c>
      <c r="C76" s="8" t="s">
        <v>45</v>
      </c>
      <c r="D76" s="9">
        <v>36</v>
      </c>
      <c r="E76" s="9">
        <v>39.799999999999997</v>
      </c>
      <c r="F76" s="10" t="s">
        <v>126</v>
      </c>
      <c r="G76" s="11">
        <v>90</v>
      </c>
      <c r="H76" s="1"/>
    </row>
    <row r="77" spans="1:8" ht="26.25">
      <c r="A77" s="10">
        <v>49</v>
      </c>
      <c r="B77" s="8" t="s">
        <v>127</v>
      </c>
      <c r="C77" s="8" t="s">
        <v>76</v>
      </c>
      <c r="D77" s="9">
        <v>54.9</v>
      </c>
      <c r="E77" s="9">
        <v>70.5</v>
      </c>
      <c r="F77" s="10" t="s">
        <v>85</v>
      </c>
      <c r="G77" s="11">
        <v>51</v>
      </c>
      <c r="H77" s="1"/>
    </row>
    <row r="78" spans="1:8" ht="78.75">
      <c r="A78" s="19">
        <v>50</v>
      </c>
      <c r="B78" s="17" t="s">
        <v>118</v>
      </c>
      <c r="C78" s="17" t="s">
        <v>69</v>
      </c>
      <c r="D78" s="18">
        <v>18.8</v>
      </c>
      <c r="E78" s="18">
        <v>23.4</v>
      </c>
      <c r="F78" s="19" t="s">
        <v>85</v>
      </c>
      <c r="G78" s="20">
        <v>154</v>
      </c>
      <c r="H78" s="1"/>
    </row>
    <row r="79" spans="1:8" ht="39.4">
      <c r="A79" s="10">
        <v>51</v>
      </c>
      <c r="B79" s="8" t="s">
        <v>129</v>
      </c>
      <c r="C79" s="8" t="s">
        <v>76</v>
      </c>
      <c r="D79" s="9">
        <v>44.2</v>
      </c>
      <c r="E79" s="9">
        <v>57.2</v>
      </c>
      <c r="F79" s="10" t="s">
        <v>85</v>
      </c>
      <c r="G79" s="11">
        <v>63</v>
      </c>
      <c r="H79" s="1"/>
    </row>
    <row r="80" spans="1:8" ht="26.25">
      <c r="A80" s="10">
        <v>52</v>
      </c>
      <c r="B80" s="8" t="s">
        <v>130</v>
      </c>
      <c r="C80" s="8" t="s">
        <v>76</v>
      </c>
      <c r="D80" s="9">
        <v>29.9</v>
      </c>
      <c r="E80" s="9">
        <v>36.6</v>
      </c>
      <c r="F80" s="10" t="s">
        <v>108</v>
      </c>
      <c r="G80" s="11">
        <v>98</v>
      </c>
      <c r="H80" s="1"/>
    </row>
    <row r="81" spans="1:8" ht="52.5">
      <c r="A81" s="10">
        <v>53</v>
      </c>
      <c r="B81" s="8" t="s">
        <v>132</v>
      </c>
      <c r="C81" s="8" t="s">
        <v>69</v>
      </c>
      <c r="D81" s="9">
        <v>13.6</v>
      </c>
      <c r="E81" s="9">
        <v>15.9</v>
      </c>
      <c r="F81" s="10" t="s">
        <v>77</v>
      </c>
      <c r="G81" s="11">
        <v>227</v>
      </c>
      <c r="H81" s="1"/>
    </row>
    <row r="82" spans="1:8" ht="39.4">
      <c r="A82" s="10">
        <v>54</v>
      </c>
      <c r="B82" s="8" t="s">
        <v>134</v>
      </c>
      <c r="C82" s="8" t="s">
        <v>76</v>
      </c>
      <c r="D82" s="9">
        <v>35.299999999999997</v>
      </c>
      <c r="E82" s="9">
        <v>45.3</v>
      </c>
      <c r="F82" s="10" t="s">
        <v>135</v>
      </c>
      <c r="G82" s="11">
        <v>79</v>
      </c>
      <c r="H82" s="1"/>
    </row>
    <row r="83" spans="1:8" ht="26.25">
      <c r="A83" s="10">
        <v>55</v>
      </c>
      <c r="B83" s="8" t="s">
        <v>136</v>
      </c>
      <c r="C83" s="8" t="s">
        <v>69</v>
      </c>
      <c r="D83" s="9">
        <v>20</v>
      </c>
      <c r="E83" s="9">
        <v>25.1</v>
      </c>
      <c r="F83" s="10" t="s">
        <v>85</v>
      </c>
      <c r="G83" s="11">
        <v>144</v>
      </c>
      <c r="H83" s="1"/>
    </row>
    <row r="84" spans="1:8" ht="52.5">
      <c r="A84" s="10">
        <v>56</v>
      </c>
      <c r="B84" s="8" t="s">
        <v>138</v>
      </c>
      <c r="C84" s="8" t="s">
        <v>69</v>
      </c>
      <c r="D84" s="9">
        <v>40.700000000000003</v>
      </c>
      <c r="E84" s="9">
        <v>50.7</v>
      </c>
      <c r="F84" s="10" t="s">
        <v>139</v>
      </c>
      <c r="G84" s="11">
        <v>71</v>
      </c>
      <c r="H84" s="1"/>
    </row>
    <row r="85" spans="1:8" ht="39.4">
      <c r="A85" s="10">
        <v>57</v>
      </c>
      <c r="B85" s="8" t="s">
        <v>143</v>
      </c>
      <c r="C85" s="8" t="s">
        <v>45</v>
      </c>
      <c r="D85" s="9">
        <v>6.9</v>
      </c>
      <c r="E85" s="9">
        <v>8.4</v>
      </c>
      <c r="F85" s="10" t="s">
        <v>52</v>
      </c>
      <c r="G85" s="11">
        <v>431</v>
      </c>
      <c r="H85" s="1"/>
    </row>
    <row r="86" spans="1:8" ht="39.4">
      <c r="A86" s="10">
        <v>81</v>
      </c>
      <c r="B86" s="8" t="s">
        <v>144</v>
      </c>
      <c r="C86" s="8" t="s">
        <v>69</v>
      </c>
      <c r="D86" s="9">
        <v>24.7</v>
      </c>
      <c r="E86" s="9">
        <v>31.5</v>
      </c>
      <c r="F86" s="10" t="s">
        <v>108</v>
      </c>
      <c r="G86" s="11">
        <v>114</v>
      </c>
      <c r="H86" s="1"/>
    </row>
    <row r="87" spans="1:8" ht="39.4">
      <c r="A87" s="10">
        <v>58</v>
      </c>
      <c r="B87" s="8" t="s">
        <v>146</v>
      </c>
      <c r="C87" s="8" t="s">
        <v>76</v>
      </c>
      <c r="D87" s="9">
        <v>30.4</v>
      </c>
      <c r="E87" s="9">
        <v>36.700000000000003</v>
      </c>
      <c r="F87" s="10" t="s">
        <v>108</v>
      </c>
      <c r="G87" s="11">
        <v>98</v>
      </c>
      <c r="H87" s="1"/>
    </row>
    <row r="88" spans="1:8" ht="26.25">
      <c r="A88" s="10">
        <v>59</v>
      </c>
      <c r="B88" s="8" t="s">
        <v>147</v>
      </c>
      <c r="C88" s="8" t="s">
        <v>76</v>
      </c>
      <c r="D88" s="9">
        <v>20.3</v>
      </c>
      <c r="E88" s="9">
        <v>22.8</v>
      </c>
      <c r="F88" s="10" t="s">
        <v>148</v>
      </c>
      <c r="G88" s="11">
        <v>158</v>
      </c>
      <c r="H88" s="1"/>
    </row>
    <row r="89" spans="1:8" ht="52.5">
      <c r="A89" s="10">
        <v>83</v>
      </c>
      <c r="B89" s="8" t="s">
        <v>150</v>
      </c>
      <c r="C89" s="8" t="s">
        <v>59</v>
      </c>
      <c r="D89" s="9">
        <v>22.3</v>
      </c>
      <c r="E89" s="9">
        <v>27.6</v>
      </c>
      <c r="F89" s="10" t="s">
        <v>148</v>
      </c>
      <c r="G89" s="11">
        <v>130</v>
      </c>
      <c r="H89" s="1"/>
    </row>
    <row r="90" spans="1:8" ht="26.25">
      <c r="A90" s="10">
        <v>84</v>
      </c>
      <c r="B90" s="8" t="s">
        <v>151</v>
      </c>
      <c r="C90" s="8" t="s">
        <v>59</v>
      </c>
      <c r="D90" s="9">
        <v>10.3</v>
      </c>
      <c r="E90" s="9">
        <v>11.5</v>
      </c>
      <c r="F90" s="10" t="s">
        <v>148</v>
      </c>
      <c r="G90" s="11">
        <v>313</v>
      </c>
      <c r="H90" s="1"/>
    </row>
    <row r="91" spans="1:8" ht="39.4">
      <c r="A91" s="10">
        <v>60</v>
      </c>
      <c r="B91" s="8" t="s">
        <v>152</v>
      </c>
      <c r="C91" s="8" t="s">
        <v>153</v>
      </c>
      <c r="D91" s="9">
        <v>118.3</v>
      </c>
      <c r="E91" s="9">
        <v>165.3</v>
      </c>
      <c r="F91" s="10" t="s">
        <v>85</v>
      </c>
      <c r="G91" s="11">
        <v>22</v>
      </c>
      <c r="H91" s="1"/>
    </row>
    <row r="92" spans="1:8" ht="39.4">
      <c r="A92" s="10">
        <v>88</v>
      </c>
      <c r="B92" s="8" t="s">
        <v>155</v>
      </c>
      <c r="C92" s="8" t="s">
        <v>69</v>
      </c>
      <c r="D92" s="9">
        <v>8.3000000000000007</v>
      </c>
      <c r="E92" s="9">
        <v>10.3</v>
      </c>
      <c r="F92" s="10" t="s">
        <v>85</v>
      </c>
      <c r="G92" s="11">
        <v>348</v>
      </c>
      <c r="H92" s="1"/>
    </row>
    <row r="93" spans="1:8" ht="26.25">
      <c r="A93" s="10">
        <v>61</v>
      </c>
      <c r="B93" s="8" t="s">
        <v>156</v>
      </c>
      <c r="C93" s="8" t="s">
        <v>69</v>
      </c>
      <c r="D93" s="9">
        <v>41</v>
      </c>
      <c r="E93" s="9">
        <v>51.3</v>
      </c>
      <c r="F93" s="10" t="s">
        <v>135</v>
      </c>
      <c r="G93" s="11">
        <v>70</v>
      </c>
      <c r="H93" s="1"/>
    </row>
    <row r="94" spans="1:8">
      <c r="A94" s="10">
        <v>62</v>
      </c>
      <c r="B94" s="8" t="s">
        <v>158</v>
      </c>
      <c r="C94" s="8" t="s">
        <v>159</v>
      </c>
      <c r="D94" s="9">
        <v>45</v>
      </c>
      <c r="E94" s="9">
        <v>49.7</v>
      </c>
      <c r="F94" s="10" t="s">
        <v>126</v>
      </c>
      <c r="G94" s="11">
        <v>72</v>
      </c>
      <c r="H94" s="1"/>
    </row>
    <row r="95" spans="1:8">
      <c r="A95" s="3"/>
      <c r="B95" s="2" t="s">
        <v>160</v>
      </c>
      <c r="C95" s="2"/>
      <c r="D95" s="2"/>
      <c r="E95" s="2"/>
      <c r="F95" s="2"/>
      <c r="G95" s="2"/>
      <c r="H95" s="1"/>
    </row>
    <row r="96" spans="1:8">
      <c r="A96" s="10">
        <v>63</v>
      </c>
      <c r="B96" s="8" t="s">
        <v>161</v>
      </c>
      <c r="C96" s="8" t="s">
        <v>87</v>
      </c>
      <c r="D96" s="9">
        <v>19.100000000000001</v>
      </c>
      <c r="E96" s="9">
        <v>21.2</v>
      </c>
      <c r="F96" s="10" t="s">
        <v>88</v>
      </c>
      <c r="G96" s="11">
        <v>170</v>
      </c>
      <c r="H96" s="1"/>
    </row>
    <row r="97" spans="1:8" ht="26.25">
      <c r="A97" s="10">
        <v>87</v>
      </c>
      <c r="B97" s="8" t="s">
        <v>162</v>
      </c>
      <c r="C97" s="8" t="s">
        <v>87</v>
      </c>
      <c r="D97" s="9">
        <v>6.6</v>
      </c>
      <c r="E97" s="9">
        <v>7.3</v>
      </c>
      <c r="F97" s="10" t="s">
        <v>88</v>
      </c>
      <c r="G97" s="11">
        <v>493</v>
      </c>
      <c r="H97" s="1"/>
    </row>
    <row r="98" spans="1:8">
      <c r="A98" s="3"/>
      <c r="B98" s="2" t="s">
        <v>164</v>
      </c>
      <c r="C98" s="2"/>
      <c r="D98" s="2"/>
      <c r="E98" s="2"/>
      <c r="F98" s="2"/>
      <c r="G98" s="2"/>
      <c r="H98" s="1"/>
    </row>
    <row r="99" spans="1:8" ht="26.25">
      <c r="A99" s="10">
        <v>64</v>
      </c>
      <c r="B99" s="8" t="s">
        <v>166</v>
      </c>
      <c r="C99" s="8" t="s">
        <v>167</v>
      </c>
      <c r="D99" s="9">
        <v>86.8</v>
      </c>
      <c r="E99" s="9">
        <v>97.7</v>
      </c>
      <c r="F99" s="10" t="s">
        <v>108</v>
      </c>
      <c r="G99" s="11">
        <v>37</v>
      </c>
      <c r="H99" s="1"/>
    </row>
    <row r="100" spans="1:8">
      <c r="A100" s="10">
        <v>65</v>
      </c>
      <c r="B100" s="8" t="s">
        <v>169</v>
      </c>
      <c r="C100" s="8" t="s">
        <v>170</v>
      </c>
      <c r="D100" s="9">
        <v>53.4</v>
      </c>
      <c r="E100" s="9">
        <v>59.1</v>
      </c>
      <c r="F100" s="10" t="s">
        <v>88</v>
      </c>
      <c r="G100" s="11">
        <v>61</v>
      </c>
      <c r="H100" s="1"/>
    </row>
    <row r="101" spans="1:8">
      <c r="A101" s="10">
        <v>66</v>
      </c>
      <c r="B101" s="8" t="s">
        <v>171</v>
      </c>
      <c r="C101" s="8" t="s">
        <v>45</v>
      </c>
      <c r="D101" s="9">
        <v>5.9</v>
      </c>
      <c r="E101" s="9">
        <v>6.5</v>
      </c>
      <c r="F101" s="10" t="s">
        <v>52</v>
      </c>
      <c r="G101" s="11">
        <v>554</v>
      </c>
      <c r="H101" s="1"/>
    </row>
    <row r="102" spans="1:8">
      <c r="A102" s="10">
        <v>67</v>
      </c>
      <c r="B102" s="8" t="s">
        <v>172</v>
      </c>
      <c r="C102" s="8" t="s">
        <v>45</v>
      </c>
      <c r="D102" s="9">
        <v>2.9</v>
      </c>
      <c r="E102" s="9">
        <v>3.2</v>
      </c>
      <c r="F102" s="10" t="s">
        <v>52</v>
      </c>
      <c r="G102" s="11">
        <v>1125</v>
      </c>
      <c r="H102" s="1"/>
    </row>
    <row r="103" spans="1:8">
      <c r="A103" s="10">
        <v>68</v>
      </c>
      <c r="B103" s="8" t="s">
        <v>173</v>
      </c>
      <c r="C103" s="8" t="s">
        <v>45</v>
      </c>
      <c r="D103" s="9">
        <v>10.199999999999999</v>
      </c>
      <c r="E103" s="9">
        <v>11.3</v>
      </c>
      <c r="F103" s="10" t="s">
        <v>52</v>
      </c>
      <c r="G103" s="11">
        <v>319</v>
      </c>
      <c r="H103" s="1"/>
    </row>
    <row r="104" spans="1:8">
      <c r="A104" s="10">
        <v>69</v>
      </c>
      <c r="B104" s="8" t="s">
        <v>174</v>
      </c>
      <c r="C104" s="8" t="s">
        <v>45</v>
      </c>
      <c r="D104" s="9">
        <v>3.7</v>
      </c>
      <c r="E104" s="9">
        <v>4.0999999999999996</v>
      </c>
      <c r="F104" s="10" t="s">
        <v>52</v>
      </c>
      <c r="G104" s="11">
        <v>878</v>
      </c>
      <c r="H104" s="1"/>
    </row>
    <row r="105" spans="1:8">
      <c r="A105" s="10">
        <v>70</v>
      </c>
      <c r="B105" s="8" t="s">
        <v>175</v>
      </c>
      <c r="C105" s="8" t="s">
        <v>45</v>
      </c>
      <c r="D105" s="9">
        <v>2.9</v>
      </c>
      <c r="E105" s="9">
        <v>3.2</v>
      </c>
      <c r="F105" s="10" t="s">
        <v>52</v>
      </c>
      <c r="G105" s="11">
        <v>1125</v>
      </c>
      <c r="H105" s="1"/>
    </row>
    <row r="106" spans="1:8" ht="39.4">
      <c r="A106" s="10">
        <v>72</v>
      </c>
      <c r="B106" s="8" t="s">
        <v>176</v>
      </c>
      <c r="C106" s="8" t="s">
        <v>45</v>
      </c>
      <c r="D106" s="9">
        <v>16.8</v>
      </c>
      <c r="E106" s="9">
        <v>18.600000000000001</v>
      </c>
      <c r="F106" s="10" t="s">
        <v>52</v>
      </c>
      <c r="G106" s="11">
        <v>194</v>
      </c>
      <c r="H106" s="1"/>
    </row>
    <row r="107" spans="1:8" ht="26.25">
      <c r="A107" s="10">
        <v>71</v>
      </c>
      <c r="B107" s="8" t="s">
        <v>177</v>
      </c>
      <c r="C107" s="8" t="s">
        <v>45</v>
      </c>
      <c r="D107" s="9">
        <v>5.9</v>
      </c>
      <c r="E107" s="9">
        <v>6.5</v>
      </c>
      <c r="F107" s="10" t="s">
        <v>52</v>
      </c>
      <c r="G107" s="11">
        <v>554</v>
      </c>
      <c r="H107" s="1"/>
    </row>
    <row r="108" spans="1:8" ht="26.25">
      <c r="A108" s="10">
        <v>73</v>
      </c>
      <c r="B108" s="8" t="s">
        <v>178</v>
      </c>
      <c r="C108" s="8" t="s">
        <v>45</v>
      </c>
      <c r="D108" s="9">
        <v>26.2</v>
      </c>
      <c r="E108" s="9">
        <v>29</v>
      </c>
      <c r="F108" s="10" t="s">
        <v>52</v>
      </c>
      <c r="G108" s="11">
        <v>124</v>
      </c>
      <c r="H108" s="1"/>
    </row>
    <row r="109" spans="1:8" ht="39.4">
      <c r="A109" s="10">
        <v>74</v>
      </c>
      <c r="B109" s="8" t="s">
        <v>179</v>
      </c>
      <c r="C109" s="8" t="s">
        <v>45</v>
      </c>
      <c r="D109" s="9">
        <v>11.1</v>
      </c>
      <c r="E109" s="9">
        <v>12.3</v>
      </c>
      <c r="F109" s="10" t="s">
        <v>52</v>
      </c>
      <c r="G109" s="11">
        <v>293</v>
      </c>
      <c r="H109" s="1"/>
    </row>
    <row r="110" spans="1:8">
      <c r="A110" s="10">
        <v>75</v>
      </c>
      <c r="B110" s="8" t="s">
        <v>180</v>
      </c>
      <c r="C110" s="8" t="s">
        <v>45</v>
      </c>
      <c r="D110" s="9">
        <v>3.8</v>
      </c>
      <c r="E110" s="9">
        <v>4.2</v>
      </c>
      <c r="F110" s="10" t="s">
        <v>52</v>
      </c>
      <c r="G110" s="11">
        <v>857</v>
      </c>
      <c r="H110" s="1"/>
    </row>
    <row r="111" spans="1:8" ht="26.25">
      <c r="A111" s="10">
        <v>76</v>
      </c>
      <c r="B111" s="8" t="s">
        <v>181</v>
      </c>
      <c r="C111" s="8" t="s">
        <v>45</v>
      </c>
      <c r="D111" s="9">
        <v>1.4</v>
      </c>
      <c r="E111" s="9">
        <v>1.6</v>
      </c>
      <c r="F111" s="10" t="s">
        <v>52</v>
      </c>
      <c r="G111" s="11">
        <v>2250</v>
      </c>
      <c r="H111" s="1"/>
    </row>
    <row r="112" spans="1:8" ht="39.4">
      <c r="A112" s="10">
        <v>91</v>
      </c>
      <c r="B112" s="8" t="s">
        <v>182</v>
      </c>
      <c r="C112" s="8" t="s">
        <v>45</v>
      </c>
      <c r="D112" s="9">
        <v>5.8</v>
      </c>
      <c r="E112" s="9">
        <v>6.4</v>
      </c>
      <c r="F112" s="10" t="s">
        <v>34</v>
      </c>
      <c r="G112" s="11">
        <v>563</v>
      </c>
      <c r="H112" s="1"/>
    </row>
    <row r="113" spans="1:8" ht="118.15">
      <c r="A113" s="10">
        <v>89</v>
      </c>
      <c r="B113" s="8" t="s">
        <v>183</v>
      </c>
      <c r="C113" s="8" t="s">
        <v>45</v>
      </c>
      <c r="D113" s="9">
        <v>9.4</v>
      </c>
      <c r="E113" s="9">
        <v>10.3</v>
      </c>
      <c r="F113" s="10" t="s">
        <v>52</v>
      </c>
      <c r="G113" s="11">
        <v>350</v>
      </c>
      <c r="H113" s="1"/>
    </row>
    <row r="114" spans="1:8" ht="91.9">
      <c r="A114" s="10">
        <v>78</v>
      </c>
      <c r="B114" s="8" t="s">
        <v>184</v>
      </c>
      <c r="C114" s="8" t="s">
        <v>45</v>
      </c>
      <c r="D114" s="9">
        <v>11.8</v>
      </c>
      <c r="E114" s="9">
        <v>13.1</v>
      </c>
      <c r="F114" s="10" t="s">
        <v>52</v>
      </c>
      <c r="G114" s="11">
        <v>275</v>
      </c>
      <c r="H114" s="1"/>
    </row>
    <row r="115" spans="1:8">
      <c r="A115" s="10">
        <v>79</v>
      </c>
      <c r="B115" s="8" t="s">
        <v>185</v>
      </c>
      <c r="C115" s="8" t="s">
        <v>45</v>
      </c>
      <c r="D115" s="9">
        <v>0.9</v>
      </c>
      <c r="E115" s="9">
        <v>1</v>
      </c>
      <c r="F115" s="10" t="s">
        <v>52</v>
      </c>
      <c r="G115" s="11">
        <v>3600</v>
      </c>
      <c r="H115" s="1"/>
    </row>
    <row r="116" spans="1:8">
      <c r="A116" s="1"/>
      <c r="B116" s="1"/>
      <c r="C116" s="1"/>
      <c r="D116" s="1"/>
      <c r="E116" s="1"/>
      <c r="F116" s="1"/>
      <c r="G116" s="1"/>
      <c r="H116" s="3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</sheetData>
  <mergeCells count="20">
    <mergeCell ref="A1:G1"/>
    <mergeCell ref="A2:G2"/>
    <mergeCell ref="A3:G3"/>
    <mergeCell ref="B4:D4"/>
    <mergeCell ref="E4:G19"/>
    <mergeCell ref="B5:D5"/>
    <mergeCell ref="B6:D6"/>
    <mergeCell ref="B7:D7"/>
    <mergeCell ref="B8:D8"/>
    <mergeCell ref="B9:D9"/>
    <mergeCell ref="B16:D16"/>
    <mergeCell ref="B17:D17"/>
    <mergeCell ref="B18:D18"/>
    <mergeCell ref="B19:D19"/>
    <mergeCell ref="B10:D10"/>
    <mergeCell ref="B11:D11"/>
    <mergeCell ref="B12:D12"/>
    <mergeCell ref="B13:D13"/>
    <mergeCell ref="B14:D14"/>
    <mergeCell ref="B15:D1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3329-F6BA-4BE5-AE48-2DDBBFF80B3C}">
  <dimension ref="A1:W274"/>
  <sheetViews>
    <sheetView tabSelected="1" workbookViewId="0">
      <selection activeCell="N22" sqref="N22"/>
    </sheetView>
  </sheetViews>
  <sheetFormatPr defaultColWidth="9" defaultRowHeight="14.25" customHeight="1"/>
  <cols>
    <col min="1" max="1" width="6.46484375" style="1" customWidth="1"/>
    <col min="2" max="2" width="29.73046875" style="1" customWidth="1"/>
    <col min="3" max="3" width="31.59765625" style="1" customWidth="1"/>
    <col min="4" max="8" width="8.86328125" style="1" customWidth="1"/>
    <col min="9" max="9" width="7" style="1" customWidth="1"/>
    <col min="10" max="22" width="9" style="1"/>
    <col min="23" max="23" width="59.59765625" style="1" customWidth="1"/>
    <col min="24" max="16384" width="9" style="1"/>
  </cols>
  <sheetData>
    <row r="1" spans="1:23" ht="14.25" customHeight="1">
      <c r="A1" s="38" t="s">
        <v>0</v>
      </c>
      <c r="B1" s="38"/>
      <c r="C1" s="38"/>
      <c r="D1" s="38"/>
      <c r="E1" s="38"/>
      <c r="F1" s="38"/>
      <c r="G1" s="38"/>
      <c r="H1" s="38"/>
    </row>
    <row r="2" spans="1:23" ht="10.5" customHeight="1">
      <c r="A2" s="41" t="s">
        <v>1</v>
      </c>
      <c r="B2" s="41"/>
      <c r="C2" s="41"/>
      <c r="D2" s="41"/>
      <c r="E2" s="41"/>
      <c r="F2" s="41"/>
      <c r="G2" s="41"/>
      <c r="H2" s="41"/>
    </row>
    <row r="3" spans="1:23" ht="8.25" customHeight="1">
      <c r="A3" s="33" t="s">
        <v>2</v>
      </c>
      <c r="B3" s="33"/>
      <c r="C3" s="33"/>
      <c r="D3" s="33"/>
      <c r="E3" s="33"/>
      <c r="F3" s="33"/>
      <c r="G3" s="33"/>
      <c r="H3" s="33"/>
    </row>
    <row r="4" spans="1:23" ht="8.25" customHeight="1">
      <c r="A4" s="2" t="s">
        <v>3</v>
      </c>
      <c r="B4" s="2"/>
      <c r="C4" s="39" t="s">
        <v>4</v>
      </c>
      <c r="D4" s="39"/>
      <c r="E4" s="39"/>
      <c r="F4" s="40"/>
      <c r="G4" s="40"/>
      <c r="H4" s="40"/>
    </row>
    <row r="5" spans="1:23" ht="8.25" customHeight="1">
      <c r="A5" s="2" t="s">
        <v>5</v>
      </c>
      <c r="B5" s="2"/>
      <c r="C5" s="33" t="s">
        <v>6</v>
      </c>
      <c r="D5" s="33"/>
      <c r="E5" s="33"/>
      <c r="F5" s="40"/>
      <c r="G5" s="40"/>
      <c r="H5" s="40"/>
    </row>
    <row r="6" spans="1:23" ht="8.25" customHeight="1">
      <c r="A6" s="2" t="s">
        <v>7</v>
      </c>
      <c r="B6" s="2"/>
      <c r="C6" s="39" t="s">
        <v>4</v>
      </c>
      <c r="D6" s="39"/>
      <c r="E6" s="39"/>
      <c r="F6" s="40"/>
      <c r="G6" s="40"/>
      <c r="H6" s="40"/>
    </row>
    <row r="7" spans="1:23" ht="8.25" customHeight="1">
      <c r="A7" s="2" t="s">
        <v>8</v>
      </c>
      <c r="B7" s="2"/>
      <c r="C7" s="34" t="s">
        <v>9</v>
      </c>
      <c r="D7" s="34"/>
      <c r="E7" s="34"/>
      <c r="F7" s="40"/>
      <c r="G7" s="40"/>
      <c r="H7" s="40"/>
      <c r="W7" s="32"/>
    </row>
    <row r="8" spans="1:23" ht="8.25" customHeight="1">
      <c r="A8" s="2" t="s">
        <v>10</v>
      </c>
      <c r="B8" s="2"/>
      <c r="C8" s="34"/>
      <c r="D8" s="34"/>
      <c r="E8" s="34"/>
      <c r="F8" s="40"/>
      <c r="G8" s="40"/>
      <c r="H8" s="40"/>
      <c r="W8" s="32"/>
    </row>
    <row r="9" spans="1:23" ht="8.25" customHeight="1">
      <c r="A9" s="2" t="s">
        <v>11</v>
      </c>
      <c r="B9" s="2"/>
      <c r="C9" s="33"/>
      <c r="D9" s="33"/>
      <c r="E9" s="33"/>
      <c r="F9" s="40"/>
      <c r="G9" s="40"/>
      <c r="H9" s="40"/>
    </row>
    <row r="10" spans="1:23" ht="8.25" customHeight="1">
      <c r="A10" s="4" t="s">
        <v>12</v>
      </c>
      <c r="B10" s="4"/>
      <c r="C10" s="33">
        <f>SUM(F40:F70,F73:F90)</f>
        <v>1618.6</v>
      </c>
      <c r="D10" s="33"/>
      <c r="E10" s="33"/>
      <c r="F10" s="40"/>
      <c r="G10" s="40"/>
      <c r="H10" s="40"/>
    </row>
    <row r="11" spans="1:23" ht="8.25" customHeight="1">
      <c r="A11" s="4" t="s">
        <v>13</v>
      </c>
      <c r="B11" s="4"/>
      <c r="C11" s="35">
        <f>36000/C10</f>
        <v>22.241443222537995</v>
      </c>
      <c r="D11" s="35"/>
      <c r="E11" s="35"/>
      <c r="F11" s="40"/>
      <c r="G11" s="40"/>
      <c r="H11" s="40"/>
    </row>
    <row r="12" spans="1:23" ht="8.25" customHeight="1">
      <c r="A12" s="2" t="s">
        <v>14</v>
      </c>
      <c r="B12" s="2"/>
      <c r="C12" s="33"/>
      <c r="D12" s="33"/>
      <c r="E12" s="33"/>
      <c r="F12" s="40"/>
      <c r="G12" s="40"/>
      <c r="H12" s="40"/>
    </row>
    <row r="13" spans="1:23" ht="8.25" customHeight="1">
      <c r="A13" s="2" t="s">
        <v>15</v>
      </c>
      <c r="B13" s="2"/>
      <c r="C13" s="36"/>
      <c r="D13" s="36"/>
      <c r="E13" s="36"/>
      <c r="F13" s="40"/>
      <c r="G13" s="40"/>
      <c r="H13" s="40"/>
    </row>
    <row r="14" spans="1:23" ht="8.25" customHeight="1">
      <c r="A14" s="4" t="s">
        <v>16</v>
      </c>
      <c r="B14" s="4"/>
      <c r="C14" s="33"/>
      <c r="D14" s="33"/>
      <c r="E14" s="33"/>
      <c r="F14" s="40"/>
      <c r="G14" s="40"/>
      <c r="H14" s="40"/>
    </row>
    <row r="15" spans="1:23" ht="8.25" customHeight="1">
      <c r="A15" s="4" t="s">
        <v>17</v>
      </c>
      <c r="B15" s="4"/>
      <c r="C15" s="33"/>
      <c r="D15" s="33"/>
      <c r="E15" s="33"/>
      <c r="F15" s="40"/>
      <c r="G15" s="40"/>
      <c r="H15" s="40"/>
    </row>
    <row r="16" spans="1:23" ht="8.25" customHeight="1">
      <c r="A16" s="4" t="s">
        <v>18</v>
      </c>
      <c r="B16" s="4"/>
      <c r="C16" s="33"/>
      <c r="D16" s="33"/>
      <c r="E16" s="33"/>
      <c r="F16" s="40"/>
      <c r="G16" s="40"/>
      <c r="H16" s="40"/>
    </row>
    <row r="17" spans="1:23" ht="8.25" customHeight="1">
      <c r="A17" s="4" t="s">
        <v>19</v>
      </c>
      <c r="B17" s="4"/>
      <c r="C17" s="33"/>
      <c r="D17" s="33"/>
      <c r="E17" s="33"/>
      <c r="F17" s="40"/>
      <c r="G17" s="40"/>
      <c r="H17" s="40"/>
    </row>
    <row r="18" spans="1:23" ht="8.25" customHeight="1">
      <c r="A18" s="2" t="s">
        <v>20</v>
      </c>
      <c r="B18" s="2"/>
      <c r="C18" s="34"/>
      <c r="D18" s="34"/>
      <c r="E18" s="34"/>
      <c r="F18" s="40"/>
      <c r="G18" s="40"/>
      <c r="H18" s="40"/>
      <c r="W18" s="32"/>
    </row>
    <row r="19" spans="1:23" ht="1.5" customHeight="1">
      <c r="A19" s="2" t="s">
        <v>21</v>
      </c>
      <c r="B19" s="2"/>
      <c r="C19" s="33" t="s">
        <v>22</v>
      </c>
      <c r="D19" s="33"/>
      <c r="E19" s="33"/>
      <c r="F19" s="40"/>
      <c r="G19" s="40"/>
      <c r="H19" s="40"/>
    </row>
    <row r="20" spans="1:23" ht="14.25" customHeight="1">
      <c r="A20" s="5" t="s">
        <v>23</v>
      </c>
      <c r="B20" s="5"/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</row>
    <row r="21" spans="1:23" ht="14.25" customHeight="1">
      <c r="A21" s="3"/>
      <c r="B21" s="3"/>
      <c r="C21" s="2" t="s">
        <v>30</v>
      </c>
      <c r="D21" s="2"/>
      <c r="E21" s="2"/>
      <c r="F21" s="2"/>
      <c r="G21" s="2"/>
      <c r="H21" s="2"/>
    </row>
    <row r="22" spans="1:23" ht="15.75" customHeight="1">
      <c r="A22" s="6">
        <v>301</v>
      </c>
      <c r="B22" s="7" t="s">
        <v>31</v>
      </c>
      <c r="C22" s="8" t="s">
        <v>32</v>
      </c>
      <c r="D22" s="8" t="s">
        <v>33</v>
      </c>
      <c r="E22" s="9">
        <v>7.2</v>
      </c>
      <c r="F22" s="9">
        <v>8.1</v>
      </c>
      <c r="G22" s="10" t="s">
        <v>34</v>
      </c>
      <c r="H22" s="11">
        <v>444</v>
      </c>
    </row>
    <row r="23" spans="1:23" ht="15.75" customHeight="1">
      <c r="A23" s="6">
        <v>304</v>
      </c>
      <c r="B23" s="7" t="s">
        <v>35</v>
      </c>
      <c r="C23" s="8" t="s">
        <v>36</v>
      </c>
      <c r="D23" s="8" t="s">
        <v>33</v>
      </c>
      <c r="E23" s="9">
        <v>0.8</v>
      </c>
      <c r="F23" s="9">
        <v>0.9</v>
      </c>
      <c r="G23" s="10" t="s">
        <v>34</v>
      </c>
      <c r="H23" s="11">
        <v>4000</v>
      </c>
    </row>
    <row r="24" spans="1:23" ht="15.75" customHeight="1">
      <c r="A24" s="6">
        <v>302</v>
      </c>
      <c r="B24" s="7" t="s">
        <v>37</v>
      </c>
      <c r="C24" s="8" t="s">
        <v>38</v>
      </c>
      <c r="D24" s="8" t="s">
        <v>39</v>
      </c>
      <c r="E24" s="9">
        <v>21.5</v>
      </c>
      <c r="F24" s="9">
        <v>24.2</v>
      </c>
      <c r="G24" s="10" t="s">
        <v>40</v>
      </c>
      <c r="H24" s="11">
        <v>149</v>
      </c>
    </row>
    <row r="25" spans="1:23" ht="15.75" customHeight="1">
      <c r="A25" s="6">
        <v>303</v>
      </c>
      <c r="B25" s="7" t="s">
        <v>41</v>
      </c>
      <c r="C25" s="8" t="s">
        <v>41</v>
      </c>
      <c r="D25" s="8" t="s">
        <v>42</v>
      </c>
      <c r="E25" s="9">
        <v>15.8</v>
      </c>
      <c r="F25" s="9">
        <v>15.8</v>
      </c>
      <c r="G25" s="10" t="s">
        <v>43</v>
      </c>
      <c r="H25" s="11">
        <v>228</v>
      </c>
    </row>
    <row r="26" spans="1:23" ht="15.75" customHeight="1">
      <c r="A26" s="6">
        <v>5</v>
      </c>
      <c r="B26" s="7" t="s">
        <v>44</v>
      </c>
      <c r="C26" s="8" t="s">
        <v>44</v>
      </c>
      <c r="D26" s="8" t="s">
        <v>45</v>
      </c>
      <c r="E26" s="9">
        <v>17</v>
      </c>
      <c r="F26" s="9">
        <v>18.8</v>
      </c>
      <c r="G26" s="10" t="s">
        <v>34</v>
      </c>
      <c r="H26" s="11">
        <v>191</v>
      </c>
    </row>
    <row r="27" spans="1:23" ht="15.75" customHeight="1">
      <c r="A27" s="6">
        <v>16</v>
      </c>
      <c r="B27" s="7" t="s">
        <v>46</v>
      </c>
      <c r="C27" s="8" t="s">
        <v>46</v>
      </c>
      <c r="D27" s="8" t="s">
        <v>45</v>
      </c>
      <c r="E27" s="9">
        <v>17</v>
      </c>
      <c r="F27" s="9">
        <v>18.8</v>
      </c>
      <c r="G27" s="10" t="s">
        <v>34</v>
      </c>
      <c r="H27" s="11">
        <v>191</v>
      </c>
    </row>
    <row r="28" spans="1:23" ht="15.75" customHeight="1">
      <c r="A28" s="6">
        <v>170</v>
      </c>
      <c r="B28" s="7" t="s">
        <v>47</v>
      </c>
      <c r="C28" s="8" t="s">
        <v>47</v>
      </c>
      <c r="D28" s="8" t="s">
        <v>45</v>
      </c>
      <c r="E28" s="9">
        <v>26.3</v>
      </c>
      <c r="F28" s="9">
        <v>29.1</v>
      </c>
      <c r="G28" s="10" t="s">
        <v>40</v>
      </c>
      <c r="H28" s="11">
        <v>124</v>
      </c>
    </row>
    <row r="29" spans="1:23" ht="15.75" customHeight="1">
      <c r="A29" s="6">
        <v>305</v>
      </c>
      <c r="B29" s="7" t="s">
        <v>48</v>
      </c>
      <c r="C29" s="8" t="s">
        <v>49</v>
      </c>
      <c r="D29" s="8" t="s">
        <v>39</v>
      </c>
      <c r="E29" s="9">
        <v>2.1</v>
      </c>
      <c r="F29" s="9">
        <v>2.4</v>
      </c>
      <c r="G29" s="10" t="s">
        <v>40</v>
      </c>
      <c r="H29" s="11">
        <v>1500</v>
      </c>
    </row>
    <row r="30" spans="1:23" ht="15.75" customHeight="1">
      <c r="A30" s="6">
        <v>306</v>
      </c>
      <c r="B30" s="7" t="s">
        <v>50</v>
      </c>
      <c r="C30" s="8" t="s">
        <v>50</v>
      </c>
      <c r="D30" s="8" t="s">
        <v>42</v>
      </c>
      <c r="E30" s="9">
        <v>2.1</v>
      </c>
      <c r="F30" s="9">
        <v>2.1</v>
      </c>
      <c r="G30" s="10" t="s">
        <v>43</v>
      </c>
      <c r="H30" s="11">
        <v>1714</v>
      </c>
    </row>
    <row r="31" spans="1:23" ht="15.75" customHeight="1">
      <c r="A31" s="6">
        <v>3</v>
      </c>
      <c r="B31" s="7" t="s">
        <v>51</v>
      </c>
      <c r="C31" s="8" t="s">
        <v>51</v>
      </c>
      <c r="D31" s="8" t="s">
        <v>45</v>
      </c>
      <c r="E31" s="9">
        <v>1.8</v>
      </c>
      <c r="F31" s="9">
        <v>2</v>
      </c>
      <c r="G31" s="10" t="s">
        <v>52</v>
      </c>
      <c r="H31" s="11">
        <v>1800</v>
      </c>
    </row>
    <row r="32" spans="1:23" ht="15.75" customHeight="1">
      <c r="A32" s="6">
        <v>307</v>
      </c>
      <c r="B32" s="7" t="s">
        <v>53</v>
      </c>
      <c r="C32" s="8" t="s">
        <v>54</v>
      </c>
      <c r="D32" s="8" t="s">
        <v>39</v>
      </c>
      <c r="E32" s="9">
        <v>0.3</v>
      </c>
      <c r="F32" s="9">
        <v>0.3</v>
      </c>
      <c r="G32" s="10" t="s">
        <v>34</v>
      </c>
      <c r="H32" s="11">
        <v>12000</v>
      </c>
    </row>
    <row r="33" spans="1:8" ht="15.75" customHeight="1">
      <c r="A33" s="6">
        <v>308</v>
      </c>
      <c r="B33" s="7" t="s">
        <v>55</v>
      </c>
      <c r="C33" s="8" t="s">
        <v>55</v>
      </c>
      <c r="D33" s="8" t="s">
        <v>56</v>
      </c>
      <c r="E33" s="9">
        <v>0.5</v>
      </c>
      <c r="F33" s="9">
        <v>0.5</v>
      </c>
      <c r="G33" s="10" t="s">
        <v>43</v>
      </c>
      <c r="H33" s="11">
        <v>7200</v>
      </c>
    </row>
    <row r="34" spans="1:8" ht="15.75" customHeight="1">
      <c r="A34" s="6">
        <v>1</v>
      </c>
      <c r="B34" s="7" t="s">
        <v>57</v>
      </c>
      <c r="C34" s="8" t="s">
        <v>57</v>
      </c>
      <c r="D34" s="8" t="s">
        <v>45</v>
      </c>
      <c r="E34" s="9">
        <v>0.2</v>
      </c>
      <c r="F34" s="9">
        <v>0.2</v>
      </c>
      <c r="G34" s="10" t="s">
        <v>52</v>
      </c>
      <c r="H34" s="11">
        <v>18000</v>
      </c>
    </row>
    <row r="35" spans="1:8" ht="15.75" customHeight="1">
      <c r="A35" s="6">
        <v>13</v>
      </c>
      <c r="B35" s="7" t="s">
        <v>58</v>
      </c>
      <c r="C35" s="8" t="s">
        <v>58</v>
      </c>
      <c r="D35" s="8" t="s">
        <v>59</v>
      </c>
      <c r="E35" s="9">
        <v>14</v>
      </c>
      <c r="F35" s="9">
        <v>15.8</v>
      </c>
      <c r="G35" s="10" t="s">
        <v>34</v>
      </c>
      <c r="H35" s="11">
        <v>228</v>
      </c>
    </row>
    <row r="36" spans="1:8" ht="15.75" customHeight="1">
      <c r="A36" s="6">
        <v>14</v>
      </c>
      <c r="B36" s="7" t="s">
        <v>60</v>
      </c>
      <c r="C36" s="8" t="s">
        <v>60</v>
      </c>
      <c r="D36" s="8" t="s">
        <v>59</v>
      </c>
      <c r="E36" s="9">
        <v>11.3</v>
      </c>
      <c r="F36" s="9">
        <v>12.7</v>
      </c>
      <c r="G36" s="10" t="s">
        <v>34</v>
      </c>
      <c r="H36" s="11">
        <v>283</v>
      </c>
    </row>
    <row r="37" spans="1:8" ht="15.75" customHeight="1">
      <c r="A37" s="6">
        <v>54</v>
      </c>
      <c r="B37" s="7" t="s">
        <v>61</v>
      </c>
      <c r="C37" s="8" t="s">
        <v>61</v>
      </c>
      <c r="D37" s="8" t="s">
        <v>62</v>
      </c>
      <c r="E37" s="9">
        <v>21.2</v>
      </c>
      <c r="F37" s="9">
        <v>21.2</v>
      </c>
      <c r="G37" s="10" t="s">
        <v>40</v>
      </c>
      <c r="H37" s="11">
        <v>170</v>
      </c>
    </row>
    <row r="38" spans="1:8" ht="15.75" customHeight="1">
      <c r="A38" s="6">
        <v>15</v>
      </c>
      <c r="B38" s="7" t="s">
        <v>63</v>
      </c>
      <c r="C38" s="8" t="s">
        <v>63</v>
      </c>
      <c r="D38" s="8" t="s">
        <v>62</v>
      </c>
      <c r="E38" s="9">
        <v>19.7</v>
      </c>
      <c r="F38" s="9">
        <v>19.7</v>
      </c>
      <c r="G38" s="10" t="s">
        <v>40</v>
      </c>
      <c r="H38" s="11">
        <v>183</v>
      </c>
    </row>
    <row r="39" spans="1:8" ht="15.75" customHeight="1">
      <c r="A39" s="6">
        <v>11</v>
      </c>
      <c r="B39" s="13" t="s">
        <v>64</v>
      </c>
      <c r="C39" s="2" t="s">
        <v>65</v>
      </c>
      <c r="D39" s="2"/>
      <c r="E39" s="2"/>
      <c r="F39" s="2"/>
      <c r="G39" s="2"/>
      <c r="H39" s="2"/>
    </row>
    <row r="40" spans="1:8" ht="15.75" customHeight="1">
      <c r="A40" s="6">
        <v>21</v>
      </c>
      <c r="B40" s="7" t="s">
        <v>66</v>
      </c>
      <c r="C40" s="8" t="s">
        <v>66</v>
      </c>
      <c r="D40" s="8" t="s">
        <v>45</v>
      </c>
      <c r="E40" s="9">
        <v>4</v>
      </c>
      <c r="F40" s="9">
        <v>4.4000000000000004</v>
      </c>
      <c r="G40" s="10" t="s">
        <v>52</v>
      </c>
      <c r="H40" s="11">
        <v>818</v>
      </c>
    </row>
    <row r="41" spans="1:8" ht="15.75" customHeight="1">
      <c r="A41" s="6">
        <v>22</v>
      </c>
      <c r="B41" s="7" t="s">
        <v>67</v>
      </c>
      <c r="C41" s="8" t="s">
        <v>68</v>
      </c>
      <c r="D41" s="8" t="s">
        <v>69</v>
      </c>
      <c r="E41" s="9">
        <v>23.1</v>
      </c>
      <c r="F41" s="9">
        <v>28.3</v>
      </c>
      <c r="G41" s="10" t="s">
        <v>70</v>
      </c>
      <c r="H41" s="11">
        <v>127</v>
      </c>
    </row>
    <row r="42" spans="1:8" ht="15.75" customHeight="1">
      <c r="A42" s="6">
        <v>23</v>
      </c>
      <c r="B42" s="7" t="s">
        <v>71</v>
      </c>
      <c r="C42" s="8" t="s">
        <v>72</v>
      </c>
      <c r="D42" s="8" t="s">
        <v>59</v>
      </c>
      <c r="E42" s="9">
        <v>19.100000000000001</v>
      </c>
      <c r="F42" s="9">
        <v>23.7</v>
      </c>
      <c r="G42" s="10" t="s">
        <v>73</v>
      </c>
      <c r="H42" s="11">
        <v>152</v>
      </c>
    </row>
    <row r="43" spans="1:8" ht="15.75" customHeight="1">
      <c r="A43" s="6">
        <v>24</v>
      </c>
      <c r="B43" s="7" t="s">
        <v>74</v>
      </c>
      <c r="C43" s="8" t="s">
        <v>75</v>
      </c>
      <c r="D43" s="8" t="s">
        <v>76</v>
      </c>
      <c r="E43" s="9">
        <v>12.5</v>
      </c>
      <c r="F43" s="9">
        <v>14.2</v>
      </c>
      <c r="G43" s="10" t="s">
        <v>77</v>
      </c>
      <c r="H43" s="11">
        <v>254</v>
      </c>
    </row>
    <row r="44" spans="1:8" ht="15.75" customHeight="1">
      <c r="A44" s="6">
        <v>25</v>
      </c>
      <c r="B44" s="7" t="s">
        <v>78</v>
      </c>
      <c r="C44" s="8" t="s">
        <v>78</v>
      </c>
      <c r="D44" s="8" t="s">
        <v>69</v>
      </c>
      <c r="E44" s="9">
        <v>8.1</v>
      </c>
      <c r="F44" s="9">
        <v>8.9</v>
      </c>
      <c r="G44" s="10" t="s">
        <v>79</v>
      </c>
      <c r="H44" s="11">
        <v>404</v>
      </c>
    </row>
    <row r="45" spans="1:8" ht="15.75" customHeight="1">
      <c r="A45" s="6">
        <v>26</v>
      </c>
      <c r="B45" s="7" t="s">
        <v>80</v>
      </c>
      <c r="C45" s="8" t="s">
        <v>81</v>
      </c>
      <c r="D45" s="8" t="s">
        <v>69</v>
      </c>
      <c r="E45" s="9">
        <v>32.799999999999997</v>
      </c>
      <c r="F45" s="9">
        <v>40.4</v>
      </c>
      <c r="G45" s="10" t="s">
        <v>77</v>
      </c>
      <c r="H45" s="11">
        <v>89</v>
      </c>
    </row>
    <row r="46" spans="1:8" ht="15.75" customHeight="1">
      <c r="A46" s="6">
        <v>28</v>
      </c>
      <c r="B46" s="7" t="s">
        <v>82</v>
      </c>
      <c r="C46" s="8" t="s">
        <v>83</v>
      </c>
      <c r="D46" s="8" t="s">
        <v>84</v>
      </c>
      <c r="E46" s="9">
        <v>58.8</v>
      </c>
      <c r="F46" s="9">
        <v>71.8</v>
      </c>
      <c r="G46" s="10" t="s">
        <v>85</v>
      </c>
      <c r="H46" s="11">
        <v>50</v>
      </c>
    </row>
    <row r="47" spans="1:8" ht="15.75" customHeight="1">
      <c r="A47" s="6">
        <v>34</v>
      </c>
      <c r="B47" s="7" t="s">
        <v>86</v>
      </c>
      <c r="C47" s="8" t="s">
        <v>86</v>
      </c>
      <c r="D47" s="8" t="s">
        <v>87</v>
      </c>
      <c r="E47" s="9">
        <v>18.3</v>
      </c>
      <c r="F47" s="9">
        <v>20.3</v>
      </c>
      <c r="G47" s="10" t="s">
        <v>88</v>
      </c>
      <c r="H47" s="11">
        <v>177</v>
      </c>
    </row>
    <row r="48" spans="1:8" ht="15.75" customHeight="1">
      <c r="A48" s="6">
        <v>30</v>
      </c>
      <c r="B48" s="7" t="s">
        <v>89</v>
      </c>
      <c r="C48" s="8" t="s">
        <v>89</v>
      </c>
      <c r="D48" s="8" t="s">
        <v>69</v>
      </c>
      <c r="E48" s="9">
        <v>34.9</v>
      </c>
      <c r="F48" s="9">
        <v>42.9</v>
      </c>
      <c r="G48" s="10" t="s">
        <v>85</v>
      </c>
      <c r="H48" s="11">
        <v>84</v>
      </c>
    </row>
    <row r="49" spans="1:8" ht="15.75" customHeight="1">
      <c r="A49" s="6">
        <v>69</v>
      </c>
      <c r="B49" s="7" t="s">
        <v>90</v>
      </c>
      <c r="C49" s="8" t="s">
        <v>90</v>
      </c>
      <c r="D49" s="8" t="s">
        <v>59</v>
      </c>
      <c r="E49" s="9">
        <v>11.3</v>
      </c>
      <c r="F49" s="9">
        <v>12.7</v>
      </c>
      <c r="G49" s="10" t="s">
        <v>43</v>
      </c>
      <c r="H49" s="11">
        <v>283</v>
      </c>
    </row>
    <row r="50" spans="1:8" ht="15.75" customHeight="1">
      <c r="A50" s="6"/>
      <c r="B50" s="7"/>
      <c r="C50" s="8"/>
      <c r="D50" s="8"/>
      <c r="E50" s="9"/>
      <c r="F50" s="9"/>
      <c r="G50" s="10"/>
      <c r="H50" s="11"/>
    </row>
    <row r="51" spans="1:8" ht="15.75" customHeight="1">
      <c r="A51" s="6">
        <v>190</v>
      </c>
      <c r="B51" s="13" t="s">
        <v>91</v>
      </c>
      <c r="C51" s="2" t="s">
        <v>92</v>
      </c>
      <c r="D51" s="2"/>
      <c r="E51" s="2"/>
      <c r="F51" s="2"/>
      <c r="G51" s="2"/>
      <c r="H51" s="2"/>
    </row>
    <row r="52" spans="1:8" ht="15.75" customHeight="1">
      <c r="A52" s="6">
        <v>31</v>
      </c>
      <c r="B52" s="7" t="s">
        <v>93</v>
      </c>
      <c r="C52" s="8" t="s">
        <v>94</v>
      </c>
      <c r="D52" s="8" t="s">
        <v>95</v>
      </c>
      <c r="E52" s="9">
        <v>9.5</v>
      </c>
      <c r="F52" s="9">
        <v>11</v>
      </c>
      <c r="G52" s="10" t="s">
        <v>40</v>
      </c>
      <c r="H52" s="11">
        <v>327</v>
      </c>
    </row>
    <row r="53" spans="1:8" ht="15.75" customHeight="1">
      <c r="A53" s="6">
        <v>32</v>
      </c>
      <c r="B53" s="7" t="s">
        <v>96</v>
      </c>
      <c r="C53" s="8" t="s">
        <v>96</v>
      </c>
      <c r="D53" s="8" t="s">
        <v>95</v>
      </c>
      <c r="E53" s="9">
        <v>18.2</v>
      </c>
      <c r="F53" s="9">
        <v>21.1</v>
      </c>
      <c r="G53" s="10" t="s">
        <v>88</v>
      </c>
      <c r="H53" s="11">
        <v>171</v>
      </c>
    </row>
    <row r="54" spans="1:8" ht="15.75" customHeight="1">
      <c r="A54" s="6">
        <v>36</v>
      </c>
      <c r="B54" s="7" t="s">
        <v>97</v>
      </c>
      <c r="C54" s="8" t="s">
        <v>97</v>
      </c>
      <c r="D54" s="8" t="s">
        <v>76</v>
      </c>
      <c r="E54" s="9">
        <v>35.700000000000003</v>
      </c>
      <c r="F54" s="9">
        <v>45.9</v>
      </c>
      <c r="G54" s="10" t="s">
        <v>85</v>
      </c>
      <c r="H54" s="11">
        <v>78</v>
      </c>
    </row>
    <row r="55" spans="1:8" ht="15.75" customHeight="1">
      <c r="A55" s="6">
        <v>37</v>
      </c>
      <c r="B55" s="7" t="s">
        <v>98</v>
      </c>
      <c r="C55" s="8" t="s">
        <v>98</v>
      </c>
      <c r="D55" s="8" t="s">
        <v>76</v>
      </c>
      <c r="E55" s="9">
        <v>40.700000000000003</v>
      </c>
      <c r="F55" s="9">
        <v>52.3</v>
      </c>
      <c r="G55" s="10" t="s">
        <v>85</v>
      </c>
      <c r="H55" s="11">
        <v>69</v>
      </c>
    </row>
    <row r="56" spans="1:8" ht="15.75" customHeight="1">
      <c r="A56" s="6">
        <v>38</v>
      </c>
      <c r="B56" s="7" t="s">
        <v>99</v>
      </c>
      <c r="C56" s="8" t="s">
        <v>99</v>
      </c>
      <c r="D56" s="8" t="s">
        <v>100</v>
      </c>
      <c r="E56" s="9">
        <v>25.4</v>
      </c>
      <c r="F56" s="9">
        <v>33.1</v>
      </c>
      <c r="G56" s="10" t="s">
        <v>85</v>
      </c>
      <c r="H56" s="11">
        <v>109</v>
      </c>
    </row>
    <row r="57" spans="1:8" ht="15.75" customHeight="1">
      <c r="A57" s="6">
        <v>39</v>
      </c>
      <c r="B57" s="7" t="s">
        <v>101</v>
      </c>
      <c r="C57" s="8" t="s">
        <v>101</v>
      </c>
      <c r="D57" s="8" t="s">
        <v>76</v>
      </c>
      <c r="E57" s="9">
        <v>28.9</v>
      </c>
      <c r="F57" s="9">
        <v>37.1</v>
      </c>
      <c r="G57" s="10" t="s">
        <v>85</v>
      </c>
      <c r="H57" s="11">
        <v>97</v>
      </c>
    </row>
    <row r="58" spans="1:8" ht="15.75" customHeight="1">
      <c r="A58" s="6">
        <v>41</v>
      </c>
      <c r="B58" s="7" t="s">
        <v>102</v>
      </c>
      <c r="C58" s="8" t="s">
        <v>102</v>
      </c>
      <c r="D58" s="8" t="s">
        <v>69</v>
      </c>
      <c r="E58" s="9">
        <v>22.2</v>
      </c>
      <c r="F58" s="9">
        <v>27.1</v>
      </c>
      <c r="G58" s="10" t="s">
        <v>77</v>
      </c>
      <c r="H58" s="11">
        <v>133</v>
      </c>
    </row>
    <row r="59" spans="1:8" ht="15.75" customHeight="1">
      <c r="A59" s="6">
        <v>42</v>
      </c>
      <c r="B59" s="7" t="s">
        <v>103</v>
      </c>
      <c r="C59" s="8" t="s">
        <v>104</v>
      </c>
      <c r="D59" s="8" t="s">
        <v>69</v>
      </c>
      <c r="E59" s="9">
        <v>23.5</v>
      </c>
      <c r="F59" s="9">
        <v>29.3</v>
      </c>
      <c r="G59" s="10" t="s">
        <v>77</v>
      </c>
      <c r="H59" s="11">
        <v>123</v>
      </c>
    </row>
    <row r="60" spans="1:8" ht="15.75" customHeight="1">
      <c r="A60" s="6">
        <v>43</v>
      </c>
      <c r="B60" s="7" t="s">
        <v>105</v>
      </c>
      <c r="C60" s="8" t="s">
        <v>105</v>
      </c>
      <c r="D60" s="8" t="s">
        <v>59</v>
      </c>
      <c r="E60" s="9">
        <v>31.4</v>
      </c>
      <c r="F60" s="9">
        <v>40.6</v>
      </c>
      <c r="G60" s="10" t="s">
        <v>79</v>
      </c>
      <c r="H60" s="11">
        <v>89</v>
      </c>
    </row>
    <row r="61" spans="1:8" ht="15.75" customHeight="1">
      <c r="A61" s="6">
        <v>44</v>
      </c>
      <c r="B61" s="7" t="s">
        <v>106</v>
      </c>
      <c r="C61" s="8" t="s">
        <v>107</v>
      </c>
      <c r="D61" s="8" t="s">
        <v>100</v>
      </c>
      <c r="E61" s="9">
        <v>21.7</v>
      </c>
      <c r="F61" s="9">
        <v>27</v>
      </c>
      <c r="G61" s="10" t="s">
        <v>108</v>
      </c>
      <c r="H61" s="11">
        <v>134</v>
      </c>
    </row>
    <row r="62" spans="1:8" ht="15.75" customHeight="1">
      <c r="A62" s="6">
        <v>90</v>
      </c>
      <c r="B62" s="7" t="s">
        <v>109</v>
      </c>
      <c r="C62" s="8" t="s">
        <v>109</v>
      </c>
      <c r="D62" s="8" t="s">
        <v>45</v>
      </c>
      <c r="E62" s="9">
        <v>28.9</v>
      </c>
      <c r="F62" s="9">
        <v>32</v>
      </c>
      <c r="G62" s="10" t="s">
        <v>52</v>
      </c>
      <c r="H62" s="11">
        <v>113</v>
      </c>
    </row>
    <row r="63" spans="1:8" ht="15.75" customHeight="1">
      <c r="A63" s="14"/>
      <c r="B63" s="13"/>
      <c r="C63" s="2" t="s">
        <v>110</v>
      </c>
      <c r="D63" s="2"/>
      <c r="E63" s="2"/>
      <c r="F63" s="2"/>
      <c r="G63" s="2"/>
      <c r="H63" s="2"/>
    </row>
    <row r="64" spans="1:8" ht="15.75" customHeight="1">
      <c r="A64" s="6">
        <v>45</v>
      </c>
      <c r="B64" s="13" t="s">
        <v>111</v>
      </c>
      <c r="C64" s="8" t="s">
        <v>112</v>
      </c>
      <c r="D64" s="8" t="s">
        <v>113</v>
      </c>
      <c r="E64" s="9">
        <v>63.5</v>
      </c>
      <c r="F64" s="9">
        <v>80.2</v>
      </c>
      <c r="G64" s="10" t="s">
        <v>77</v>
      </c>
      <c r="H64" s="11">
        <v>45</v>
      </c>
    </row>
    <row r="65" spans="1:9" ht="15.75" customHeight="1">
      <c r="A65" s="6">
        <v>46</v>
      </c>
      <c r="B65" s="13" t="s">
        <v>114</v>
      </c>
      <c r="C65" s="8" t="s">
        <v>114</v>
      </c>
      <c r="D65" s="8" t="s">
        <v>45</v>
      </c>
      <c r="E65" s="9">
        <v>13.7</v>
      </c>
      <c r="F65" s="9">
        <v>15.2</v>
      </c>
      <c r="G65" s="10" t="s">
        <v>77</v>
      </c>
      <c r="H65" s="11">
        <v>237</v>
      </c>
    </row>
    <row r="66" spans="1:9" ht="15.75" customHeight="1">
      <c r="A66" s="15">
        <v>47</v>
      </c>
      <c r="B66" s="16" t="s">
        <v>115</v>
      </c>
      <c r="C66" s="17" t="s">
        <v>116</v>
      </c>
      <c r="D66" s="17" t="s">
        <v>113</v>
      </c>
      <c r="E66" s="18">
        <v>108.5</v>
      </c>
      <c r="F66" s="18">
        <v>137.4</v>
      </c>
      <c r="G66" s="19" t="s">
        <v>77</v>
      </c>
      <c r="H66" s="20">
        <v>26</v>
      </c>
    </row>
    <row r="67" spans="1:9" ht="15.75" customHeight="1">
      <c r="A67" s="15">
        <v>86</v>
      </c>
      <c r="B67" s="16" t="s">
        <v>117</v>
      </c>
      <c r="C67" s="17" t="s">
        <v>118</v>
      </c>
      <c r="D67" s="17" t="s">
        <v>69</v>
      </c>
      <c r="E67" s="18">
        <v>18.8</v>
      </c>
      <c r="F67" s="18">
        <v>23.4</v>
      </c>
      <c r="G67" s="19" t="s">
        <v>85</v>
      </c>
      <c r="H67" s="20">
        <v>154</v>
      </c>
    </row>
    <row r="68" spans="1:9" ht="15.75" customHeight="1">
      <c r="A68" s="6">
        <v>48</v>
      </c>
      <c r="B68" s="7" t="s">
        <v>119</v>
      </c>
      <c r="C68" s="8" t="s">
        <v>119</v>
      </c>
      <c r="D68" s="8" t="s">
        <v>76</v>
      </c>
      <c r="E68" s="9">
        <v>19.3</v>
      </c>
      <c r="F68" s="9">
        <v>24.7</v>
      </c>
      <c r="G68" s="10" t="s">
        <v>77</v>
      </c>
      <c r="H68" s="11">
        <v>146</v>
      </c>
      <c r="I68" s="1" t="s">
        <v>120</v>
      </c>
    </row>
    <row r="69" spans="1:9" ht="15.75" customHeight="1">
      <c r="A69" s="6">
        <v>49</v>
      </c>
      <c r="B69" s="7" t="s">
        <v>121</v>
      </c>
      <c r="C69" s="8" t="s">
        <v>121</v>
      </c>
      <c r="D69" s="8" t="s">
        <v>59</v>
      </c>
      <c r="E69" s="9">
        <v>21.4</v>
      </c>
      <c r="F69" s="9">
        <v>26.5</v>
      </c>
      <c r="G69" s="10" t="s">
        <v>79</v>
      </c>
      <c r="H69" s="11">
        <v>136</v>
      </c>
      <c r="I69" s="21">
        <v>6.6420000000000007E-2</v>
      </c>
    </row>
    <row r="70" spans="1:9" ht="15.75" customHeight="1">
      <c r="A70" s="6">
        <v>51</v>
      </c>
      <c r="B70" s="7" t="s">
        <v>122</v>
      </c>
      <c r="C70" s="8" t="s">
        <v>122</v>
      </c>
      <c r="D70" s="8" t="s">
        <v>69</v>
      </c>
      <c r="E70" s="9">
        <v>16.8</v>
      </c>
      <c r="F70" s="9">
        <v>19.399999999999999</v>
      </c>
      <c r="G70" s="10" t="s">
        <v>43</v>
      </c>
      <c r="H70" s="11">
        <v>185</v>
      </c>
    </row>
    <row r="71" spans="1:9" ht="15.75" customHeight="1">
      <c r="A71" s="14"/>
      <c r="B71" s="13"/>
      <c r="C71" s="2" t="s">
        <v>123</v>
      </c>
      <c r="D71" s="2"/>
      <c r="E71" s="2"/>
      <c r="F71" s="2"/>
      <c r="G71" s="2"/>
      <c r="H71" s="2"/>
    </row>
    <row r="72" spans="1:9" ht="15.75" customHeight="1">
      <c r="A72" s="6">
        <v>27</v>
      </c>
      <c r="B72" s="7" t="s">
        <v>124</v>
      </c>
      <c r="C72" s="8" t="s">
        <v>125</v>
      </c>
      <c r="D72" s="8" t="s">
        <v>45</v>
      </c>
      <c r="E72" s="9">
        <v>36</v>
      </c>
      <c r="F72" s="9">
        <v>39.799999999999997</v>
      </c>
      <c r="G72" s="10" t="s">
        <v>126</v>
      </c>
      <c r="H72" s="11">
        <v>90</v>
      </c>
    </row>
    <row r="73" spans="1:9" ht="15.75" customHeight="1">
      <c r="A73" s="6">
        <v>52</v>
      </c>
      <c r="B73" s="7" t="s">
        <v>127</v>
      </c>
      <c r="C73" s="8" t="s">
        <v>127</v>
      </c>
      <c r="D73" s="8" t="s">
        <v>76</v>
      </c>
      <c r="E73" s="9">
        <v>54.9</v>
      </c>
      <c r="F73" s="9">
        <v>70.5</v>
      </c>
      <c r="G73" s="10" t="s">
        <v>85</v>
      </c>
      <c r="H73" s="11">
        <v>51</v>
      </c>
    </row>
    <row r="74" spans="1:9" ht="15.75" customHeight="1">
      <c r="A74" s="6"/>
      <c r="B74" s="7"/>
      <c r="C74" s="8"/>
      <c r="D74" s="8"/>
      <c r="E74" s="9"/>
      <c r="F74" s="9"/>
      <c r="G74" s="10"/>
      <c r="H74" s="11"/>
    </row>
    <row r="75" spans="1:9" ht="15.75" customHeight="1">
      <c r="A75" s="6">
        <v>55</v>
      </c>
      <c r="B75" s="7" t="s">
        <v>128</v>
      </c>
      <c r="C75" s="8" t="s">
        <v>129</v>
      </c>
      <c r="D75" s="8" t="s">
        <v>76</v>
      </c>
      <c r="E75" s="9">
        <v>44.2</v>
      </c>
      <c r="F75" s="9">
        <v>57.2</v>
      </c>
      <c r="G75" s="10" t="s">
        <v>85</v>
      </c>
      <c r="H75" s="11">
        <v>63</v>
      </c>
    </row>
    <row r="76" spans="1:9" ht="15.75" customHeight="1">
      <c r="A76" s="6">
        <v>56</v>
      </c>
      <c r="B76" s="7" t="s">
        <v>130</v>
      </c>
      <c r="C76" s="8" t="s">
        <v>130</v>
      </c>
      <c r="D76" s="8" t="s">
        <v>76</v>
      </c>
      <c r="E76" s="9">
        <v>29.9</v>
      </c>
      <c r="F76" s="9">
        <v>36.6</v>
      </c>
      <c r="G76" s="10" t="s">
        <v>108</v>
      </c>
      <c r="H76" s="11">
        <v>98</v>
      </c>
    </row>
    <row r="77" spans="1:9" ht="15.75" customHeight="1">
      <c r="A77" s="6">
        <v>57</v>
      </c>
      <c r="B77" s="7" t="s">
        <v>131</v>
      </c>
      <c r="C77" s="8" t="s">
        <v>132</v>
      </c>
      <c r="D77" s="8" t="s">
        <v>69</v>
      </c>
      <c r="E77" s="9">
        <v>13.6</v>
      </c>
      <c r="F77" s="9">
        <v>15.9</v>
      </c>
      <c r="G77" s="10" t="s">
        <v>77</v>
      </c>
      <c r="H77" s="11">
        <v>227</v>
      </c>
    </row>
    <row r="78" spans="1:9" ht="15.75" customHeight="1">
      <c r="A78" s="6">
        <v>58</v>
      </c>
      <c r="B78" s="7" t="s">
        <v>133</v>
      </c>
      <c r="C78" s="8" t="s">
        <v>134</v>
      </c>
      <c r="D78" s="8" t="s">
        <v>76</v>
      </c>
      <c r="E78" s="9">
        <v>35.299999999999997</v>
      </c>
      <c r="F78" s="9">
        <v>45.3</v>
      </c>
      <c r="G78" s="10" t="s">
        <v>135</v>
      </c>
      <c r="H78" s="11">
        <v>79</v>
      </c>
    </row>
    <row r="79" spans="1:9" ht="15.75" customHeight="1">
      <c r="A79" s="6">
        <v>59</v>
      </c>
      <c r="B79" s="7" t="s">
        <v>136</v>
      </c>
      <c r="C79" s="8" t="s">
        <v>136</v>
      </c>
      <c r="D79" s="8" t="s">
        <v>69</v>
      </c>
      <c r="E79" s="9">
        <v>20</v>
      </c>
      <c r="F79" s="9">
        <v>25.1</v>
      </c>
      <c r="G79" s="10" t="s">
        <v>85</v>
      </c>
      <c r="H79" s="11">
        <v>144</v>
      </c>
    </row>
    <row r="80" spans="1:9" ht="15.75" customHeight="1">
      <c r="A80" s="22">
        <v>60</v>
      </c>
      <c r="B80" s="23" t="s">
        <v>137</v>
      </c>
      <c r="C80" s="24" t="s">
        <v>138</v>
      </c>
      <c r="D80" s="24" t="s">
        <v>69</v>
      </c>
      <c r="E80" s="25">
        <v>40.700000000000003</v>
      </c>
      <c r="F80" s="25">
        <f>50.7-15</f>
        <v>35.700000000000003</v>
      </c>
      <c r="G80" s="22" t="s">
        <v>139</v>
      </c>
      <c r="H80" s="26">
        <v>71</v>
      </c>
      <c r="I80" s="21">
        <v>2.3310000000000001E-2</v>
      </c>
    </row>
    <row r="81" spans="1:9" ht="15.75" customHeight="1">
      <c r="A81" s="22">
        <v>70</v>
      </c>
      <c r="B81" s="23" t="s">
        <v>140</v>
      </c>
      <c r="C81" s="24" t="s">
        <v>141</v>
      </c>
      <c r="D81" s="24" t="s">
        <v>45</v>
      </c>
      <c r="E81" s="25">
        <v>0.9</v>
      </c>
      <c r="F81" s="25">
        <f>1+15</f>
        <v>16</v>
      </c>
      <c r="G81" s="22" t="s">
        <v>52</v>
      </c>
      <c r="H81" s="26">
        <v>3600</v>
      </c>
      <c r="I81" s="12">
        <f>SUM(I69:I80)</f>
        <v>8.9730000000000004E-2</v>
      </c>
    </row>
    <row r="82" spans="1:9" ht="15.75" customHeight="1">
      <c r="A82" s="6">
        <v>61</v>
      </c>
      <c r="B82" s="7" t="s">
        <v>142</v>
      </c>
      <c r="C82" s="8" t="s">
        <v>143</v>
      </c>
      <c r="D82" s="8" t="s">
        <v>45</v>
      </c>
      <c r="E82" s="9">
        <v>6.9</v>
      </c>
      <c r="F82" s="9">
        <v>8.4</v>
      </c>
      <c r="G82" s="10" t="s">
        <v>52</v>
      </c>
      <c r="H82" s="11">
        <v>431</v>
      </c>
    </row>
    <row r="83" spans="1:9" ht="15.75" customHeight="1">
      <c r="A83" s="6">
        <v>62</v>
      </c>
      <c r="B83" s="7" t="s">
        <v>144</v>
      </c>
      <c r="C83" s="8" t="s">
        <v>144</v>
      </c>
      <c r="D83" s="8" t="s">
        <v>69</v>
      </c>
      <c r="E83" s="9">
        <v>24.7</v>
      </c>
      <c r="F83" s="9">
        <v>31.5</v>
      </c>
      <c r="G83" s="10" t="s">
        <v>108</v>
      </c>
      <c r="H83" s="11">
        <v>114</v>
      </c>
    </row>
    <row r="84" spans="1:9" ht="15.75" customHeight="1">
      <c r="A84" s="6">
        <v>63</v>
      </c>
      <c r="B84" s="7" t="s">
        <v>145</v>
      </c>
      <c r="C84" s="8" t="s">
        <v>146</v>
      </c>
      <c r="D84" s="8" t="s">
        <v>76</v>
      </c>
      <c r="E84" s="9">
        <v>30.4</v>
      </c>
      <c r="F84" s="9">
        <v>36.700000000000003</v>
      </c>
      <c r="G84" s="10" t="s">
        <v>108</v>
      </c>
      <c r="H84" s="11">
        <v>98</v>
      </c>
    </row>
    <row r="85" spans="1:9" ht="15.75" customHeight="1">
      <c r="A85" s="6">
        <v>64</v>
      </c>
      <c r="B85" s="7" t="s">
        <v>147</v>
      </c>
      <c r="C85" s="8" t="s">
        <v>147</v>
      </c>
      <c r="D85" s="8" t="s">
        <v>76</v>
      </c>
      <c r="E85" s="9">
        <v>20.3</v>
      </c>
      <c r="F85" s="9">
        <v>22.8</v>
      </c>
      <c r="G85" s="10" t="s">
        <v>148</v>
      </c>
      <c r="H85" s="11">
        <v>158</v>
      </c>
    </row>
    <row r="86" spans="1:9" ht="15.75" customHeight="1">
      <c r="A86" s="6">
        <v>65</v>
      </c>
      <c r="B86" s="27" t="s">
        <v>149</v>
      </c>
      <c r="C86" s="8" t="s">
        <v>150</v>
      </c>
      <c r="D86" s="8" t="s">
        <v>59</v>
      </c>
      <c r="E86" s="9">
        <v>22.3</v>
      </c>
      <c r="F86" s="9">
        <v>27.6</v>
      </c>
      <c r="G86" s="10" t="s">
        <v>148</v>
      </c>
      <c r="H86" s="11">
        <v>130</v>
      </c>
    </row>
    <row r="87" spans="1:9" ht="15.75" customHeight="1">
      <c r="A87" s="6">
        <v>66</v>
      </c>
      <c r="B87" s="27" t="s">
        <v>151</v>
      </c>
      <c r="C87" s="8" t="s">
        <v>151</v>
      </c>
      <c r="D87" s="8" t="s">
        <v>59</v>
      </c>
      <c r="E87" s="9">
        <v>10.3</v>
      </c>
      <c r="F87" s="9">
        <v>11.5</v>
      </c>
      <c r="G87" s="10" t="s">
        <v>148</v>
      </c>
      <c r="H87" s="11">
        <v>313</v>
      </c>
    </row>
    <row r="88" spans="1:9" ht="15.75" customHeight="1">
      <c r="A88" s="6">
        <v>67</v>
      </c>
      <c r="B88" s="27" t="s">
        <v>152</v>
      </c>
      <c r="C88" s="8" t="s">
        <v>152</v>
      </c>
      <c r="D88" s="8" t="s">
        <v>153</v>
      </c>
      <c r="E88" s="9">
        <v>118.3</v>
      </c>
      <c r="F88" s="9">
        <v>165.3</v>
      </c>
      <c r="G88" s="10" t="s">
        <v>85</v>
      </c>
      <c r="H88" s="11">
        <v>22</v>
      </c>
    </row>
    <row r="89" spans="1:9" ht="15.75" customHeight="1">
      <c r="A89" s="28">
        <v>85</v>
      </c>
      <c r="B89" s="29" t="s">
        <v>154</v>
      </c>
      <c r="C89" s="8" t="s">
        <v>155</v>
      </c>
      <c r="D89" s="8" t="s">
        <v>69</v>
      </c>
      <c r="E89" s="9">
        <v>8.3000000000000007</v>
      </c>
      <c r="F89" s="9">
        <v>10.3</v>
      </c>
      <c r="G89" s="10" t="s">
        <v>85</v>
      </c>
      <c r="H89" s="11">
        <v>348</v>
      </c>
    </row>
    <row r="90" spans="1:9" ht="15.75" customHeight="1">
      <c r="A90" s="28">
        <v>68</v>
      </c>
      <c r="B90" s="29" t="s">
        <v>156</v>
      </c>
      <c r="C90" s="8" t="s">
        <v>156</v>
      </c>
      <c r="D90" s="8" t="s">
        <v>69</v>
      </c>
      <c r="E90" s="9">
        <v>41</v>
      </c>
      <c r="F90" s="9">
        <v>51.3</v>
      </c>
      <c r="G90" s="10" t="s">
        <v>135</v>
      </c>
      <c r="H90" s="11">
        <v>70</v>
      </c>
    </row>
    <row r="91" spans="1:9" ht="15.75" customHeight="1">
      <c r="A91" s="6">
        <v>120</v>
      </c>
      <c r="B91" s="27" t="s">
        <v>157</v>
      </c>
      <c r="C91" s="8" t="s">
        <v>158</v>
      </c>
      <c r="D91" s="8" t="s">
        <v>159</v>
      </c>
      <c r="E91" s="9">
        <v>45</v>
      </c>
      <c r="F91" s="9">
        <v>49.7</v>
      </c>
      <c r="G91" s="10" t="s">
        <v>126</v>
      </c>
      <c r="H91" s="11">
        <v>72</v>
      </c>
    </row>
    <row r="92" spans="1:9" ht="15.75" customHeight="1">
      <c r="A92" s="14"/>
      <c r="B92" s="13"/>
      <c r="C92" s="2" t="s">
        <v>160</v>
      </c>
      <c r="D92" s="2"/>
      <c r="E92" s="2"/>
      <c r="F92" s="2"/>
      <c r="G92" s="2"/>
      <c r="H92" s="2"/>
    </row>
    <row r="93" spans="1:9" ht="15.75" customHeight="1">
      <c r="A93" s="6">
        <v>35</v>
      </c>
      <c r="B93" s="30" t="s">
        <v>161</v>
      </c>
      <c r="C93" s="8" t="s">
        <v>161</v>
      </c>
      <c r="D93" s="8" t="s">
        <v>87</v>
      </c>
      <c r="E93" s="9">
        <v>19.100000000000001</v>
      </c>
      <c r="F93" s="9">
        <v>21.2</v>
      </c>
      <c r="G93" s="10" t="s">
        <v>88</v>
      </c>
      <c r="H93" s="11">
        <v>170</v>
      </c>
    </row>
    <row r="94" spans="1:9" ht="15.75" customHeight="1">
      <c r="A94" s="6">
        <v>33</v>
      </c>
      <c r="B94" s="30" t="s">
        <v>162</v>
      </c>
      <c r="C94" s="8" t="s">
        <v>162</v>
      </c>
      <c r="D94" s="8" t="s">
        <v>87</v>
      </c>
      <c r="E94" s="9">
        <v>6.6</v>
      </c>
      <c r="F94" s="9">
        <v>7.3</v>
      </c>
      <c r="G94" s="10" t="s">
        <v>88</v>
      </c>
      <c r="H94" s="11">
        <v>493</v>
      </c>
    </row>
    <row r="95" spans="1:9" ht="15.75" customHeight="1">
      <c r="A95" s="6">
        <v>126</v>
      </c>
      <c r="B95" s="30" t="s">
        <v>163</v>
      </c>
      <c r="C95" s="2" t="s">
        <v>164</v>
      </c>
      <c r="D95" s="2"/>
      <c r="E95" s="2"/>
      <c r="F95" s="2"/>
      <c r="G95" s="2"/>
      <c r="H95" s="2"/>
    </row>
    <row r="96" spans="1:9" ht="15.75" customHeight="1">
      <c r="A96" s="6">
        <v>103</v>
      </c>
      <c r="B96" s="30" t="s">
        <v>165</v>
      </c>
      <c r="C96" s="8" t="s">
        <v>166</v>
      </c>
      <c r="D96" s="8" t="s">
        <v>167</v>
      </c>
      <c r="E96" s="9">
        <v>86.8</v>
      </c>
      <c r="F96" s="9">
        <v>97.7</v>
      </c>
      <c r="G96" s="10" t="s">
        <v>108</v>
      </c>
      <c r="H96" s="11">
        <v>37</v>
      </c>
    </row>
    <row r="97" spans="1:8" ht="15.75" customHeight="1">
      <c r="A97" s="6">
        <v>105</v>
      </c>
      <c r="B97" s="30" t="s">
        <v>168</v>
      </c>
      <c r="C97" s="8" t="s">
        <v>169</v>
      </c>
      <c r="D97" s="8" t="s">
        <v>170</v>
      </c>
      <c r="E97" s="9">
        <v>53.4</v>
      </c>
      <c r="F97" s="9">
        <v>59.1</v>
      </c>
      <c r="G97" s="10" t="s">
        <v>88</v>
      </c>
      <c r="H97" s="11">
        <v>61</v>
      </c>
    </row>
    <row r="98" spans="1:8" ht="15.75" customHeight="1">
      <c r="A98" s="6"/>
      <c r="B98" s="30" t="s">
        <v>171</v>
      </c>
      <c r="C98" s="8" t="s">
        <v>171</v>
      </c>
      <c r="D98" s="8" t="s">
        <v>45</v>
      </c>
      <c r="E98" s="9">
        <v>5.9</v>
      </c>
      <c r="F98" s="9">
        <v>6.5</v>
      </c>
      <c r="G98" s="10" t="s">
        <v>52</v>
      </c>
      <c r="H98" s="11">
        <v>554</v>
      </c>
    </row>
    <row r="99" spans="1:8" ht="15.75" customHeight="1">
      <c r="A99" s="6"/>
      <c r="B99" s="30" t="s">
        <v>172</v>
      </c>
      <c r="C99" s="8" t="s">
        <v>172</v>
      </c>
      <c r="D99" s="8" t="s">
        <v>45</v>
      </c>
      <c r="E99" s="9">
        <v>2.9</v>
      </c>
      <c r="F99" s="9">
        <v>3.2</v>
      </c>
      <c r="G99" s="10" t="s">
        <v>52</v>
      </c>
      <c r="H99" s="11">
        <v>1125</v>
      </c>
    </row>
    <row r="100" spans="1:8" ht="15.75" customHeight="1">
      <c r="A100" s="6">
        <v>107</v>
      </c>
      <c r="B100" s="30" t="s">
        <v>173</v>
      </c>
      <c r="C100" s="8" t="s">
        <v>173</v>
      </c>
      <c r="D100" s="8" t="s">
        <v>45</v>
      </c>
      <c r="E100" s="9">
        <v>10.199999999999999</v>
      </c>
      <c r="F100" s="9">
        <v>11.3</v>
      </c>
      <c r="G100" s="10" t="s">
        <v>52</v>
      </c>
      <c r="H100" s="11">
        <v>319</v>
      </c>
    </row>
    <row r="101" spans="1:8" ht="15.75" customHeight="1">
      <c r="A101" s="6">
        <v>172</v>
      </c>
      <c r="B101" s="30" t="s">
        <v>174</v>
      </c>
      <c r="C101" s="8" t="s">
        <v>174</v>
      </c>
      <c r="D101" s="8" t="s">
        <v>45</v>
      </c>
      <c r="E101" s="9">
        <v>3.7</v>
      </c>
      <c r="F101" s="9">
        <v>4.0999999999999996</v>
      </c>
      <c r="G101" s="10" t="s">
        <v>52</v>
      </c>
      <c r="H101" s="11">
        <v>878</v>
      </c>
    </row>
    <row r="102" spans="1:8" ht="15.75" customHeight="1">
      <c r="A102" s="6">
        <v>140</v>
      </c>
      <c r="B102" s="30" t="s">
        <v>175</v>
      </c>
      <c r="C102" s="8" t="s">
        <v>175</v>
      </c>
      <c r="D102" s="8" t="s">
        <v>45</v>
      </c>
      <c r="E102" s="9">
        <v>2.9</v>
      </c>
      <c r="F102" s="9">
        <v>3.2</v>
      </c>
      <c r="G102" s="10" t="s">
        <v>52</v>
      </c>
      <c r="H102" s="11">
        <v>1125</v>
      </c>
    </row>
    <row r="103" spans="1:8" ht="15.75" customHeight="1">
      <c r="A103" s="6">
        <v>125</v>
      </c>
      <c r="B103" s="30" t="s">
        <v>176</v>
      </c>
      <c r="C103" s="8" t="s">
        <v>176</v>
      </c>
      <c r="D103" s="8" t="s">
        <v>45</v>
      </c>
      <c r="E103" s="9">
        <v>16.8</v>
      </c>
      <c r="F103" s="9">
        <v>18.600000000000001</v>
      </c>
      <c r="G103" s="10" t="s">
        <v>52</v>
      </c>
      <c r="H103" s="11">
        <v>194</v>
      </c>
    </row>
    <row r="104" spans="1:8" ht="15.75" customHeight="1">
      <c r="A104" s="6">
        <v>40</v>
      </c>
      <c r="B104" s="30" t="s">
        <v>177</v>
      </c>
      <c r="C104" s="8" t="s">
        <v>177</v>
      </c>
      <c r="D104" s="8" t="s">
        <v>45</v>
      </c>
      <c r="E104" s="9">
        <v>5.9</v>
      </c>
      <c r="F104" s="9">
        <v>6.5</v>
      </c>
      <c r="G104" s="10" t="s">
        <v>52</v>
      </c>
      <c r="H104" s="11">
        <v>554</v>
      </c>
    </row>
    <row r="105" spans="1:8" ht="15.75" customHeight="1">
      <c r="A105" s="6">
        <v>154</v>
      </c>
      <c r="B105" s="30" t="s">
        <v>178</v>
      </c>
      <c r="C105" s="8" t="s">
        <v>178</v>
      </c>
      <c r="D105" s="8" t="s">
        <v>45</v>
      </c>
      <c r="E105" s="9">
        <v>26.2</v>
      </c>
      <c r="F105" s="9">
        <v>29</v>
      </c>
      <c r="G105" s="10" t="s">
        <v>52</v>
      </c>
      <c r="H105" s="11">
        <v>124</v>
      </c>
    </row>
    <row r="106" spans="1:8" ht="15.75" customHeight="1">
      <c r="A106" s="6">
        <v>121</v>
      </c>
      <c r="B106" s="30" t="s">
        <v>179</v>
      </c>
      <c r="C106" s="8" t="s">
        <v>179</v>
      </c>
      <c r="D106" s="8" t="s">
        <v>45</v>
      </c>
      <c r="E106" s="9">
        <v>11.1</v>
      </c>
      <c r="F106" s="9">
        <v>12.3</v>
      </c>
      <c r="G106" s="10" t="s">
        <v>52</v>
      </c>
      <c r="H106" s="11">
        <v>293</v>
      </c>
    </row>
    <row r="107" spans="1:8" ht="15.75" customHeight="1">
      <c r="A107" s="6">
        <v>102</v>
      </c>
      <c r="B107" s="30" t="s">
        <v>180</v>
      </c>
      <c r="C107" s="8" t="s">
        <v>180</v>
      </c>
      <c r="D107" s="8" t="s">
        <v>45</v>
      </c>
      <c r="E107" s="9">
        <v>3.8</v>
      </c>
      <c r="F107" s="9">
        <v>4.2</v>
      </c>
      <c r="G107" s="10" t="s">
        <v>52</v>
      </c>
      <c r="H107" s="11">
        <v>857</v>
      </c>
    </row>
    <row r="108" spans="1:8" ht="15.75" customHeight="1">
      <c r="A108" s="6">
        <v>152</v>
      </c>
      <c r="B108" s="30" t="s">
        <v>181</v>
      </c>
      <c r="C108" s="8" t="s">
        <v>181</v>
      </c>
      <c r="D108" s="8" t="s">
        <v>45</v>
      </c>
      <c r="E108" s="9">
        <v>1.4</v>
      </c>
      <c r="F108" s="9">
        <v>1.6</v>
      </c>
      <c r="G108" s="10" t="s">
        <v>52</v>
      </c>
      <c r="H108" s="11">
        <v>2250</v>
      </c>
    </row>
    <row r="109" spans="1:8" ht="15.75" customHeight="1">
      <c r="A109" s="6"/>
      <c r="B109" s="30"/>
      <c r="C109" s="8" t="s">
        <v>182</v>
      </c>
      <c r="D109" s="8" t="s">
        <v>45</v>
      </c>
      <c r="E109" s="9">
        <v>5.8</v>
      </c>
      <c r="F109" s="9">
        <v>6.4</v>
      </c>
      <c r="G109" s="10" t="s">
        <v>34</v>
      </c>
      <c r="H109" s="11">
        <v>563</v>
      </c>
    </row>
    <row r="110" spans="1:8" ht="15.75" customHeight="1">
      <c r="A110" s="6">
        <v>131</v>
      </c>
      <c r="B110" s="30" t="s">
        <v>183</v>
      </c>
      <c r="C110" s="8" t="s">
        <v>183</v>
      </c>
      <c r="D110" s="8" t="s">
        <v>45</v>
      </c>
      <c r="E110" s="9">
        <v>9.4</v>
      </c>
      <c r="F110" s="9">
        <v>10.3</v>
      </c>
      <c r="G110" s="10" t="s">
        <v>52</v>
      </c>
      <c r="H110" s="11">
        <v>350</v>
      </c>
    </row>
    <row r="111" spans="1:8" ht="15.75" customHeight="1">
      <c r="A111" s="6">
        <v>132</v>
      </c>
      <c r="B111" s="30" t="s">
        <v>184</v>
      </c>
      <c r="C111" s="8" t="s">
        <v>184</v>
      </c>
      <c r="D111" s="8" t="s">
        <v>45</v>
      </c>
      <c r="E111" s="9">
        <v>11.8</v>
      </c>
      <c r="F111" s="9">
        <v>13.1</v>
      </c>
      <c r="G111" s="10" t="s">
        <v>52</v>
      </c>
      <c r="H111" s="11">
        <v>275</v>
      </c>
    </row>
    <row r="112" spans="1:8" ht="15.75" customHeight="1">
      <c r="A112" s="6">
        <v>169</v>
      </c>
      <c r="B112" s="30" t="s">
        <v>185</v>
      </c>
      <c r="C112" s="8" t="s">
        <v>185</v>
      </c>
      <c r="D112" s="8" t="s">
        <v>45</v>
      </c>
      <c r="E112" s="9">
        <v>0.9</v>
      </c>
      <c r="F112" s="9">
        <v>1</v>
      </c>
      <c r="G112" s="10" t="s">
        <v>52</v>
      </c>
      <c r="H112" s="11">
        <v>3600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</sheetData>
  <mergeCells count="20">
    <mergeCell ref="A1:H1"/>
    <mergeCell ref="A2:H2"/>
    <mergeCell ref="A3:H3"/>
    <mergeCell ref="C4:E4"/>
    <mergeCell ref="F4:H19"/>
    <mergeCell ref="C5:E5"/>
    <mergeCell ref="C6:E6"/>
    <mergeCell ref="C7:E7"/>
    <mergeCell ref="C8:E8"/>
    <mergeCell ref="C9:E9"/>
    <mergeCell ref="C16:E16"/>
    <mergeCell ref="C17:E17"/>
    <mergeCell ref="C18:E18"/>
    <mergeCell ref="C19:E19"/>
    <mergeCell ref="C10:E10"/>
    <mergeCell ref="C11:E11"/>
    <mergeCell ref="C12:E12"/>
    <mergeCell ref="C13:E13"/>
    <mergeCell ref="C14:E14"/>
    <mergeCell ref="C15:E15"/>
  </mergeCells>
  <phoneticPr fontId="2" type="noConversion"/>
  <conditionalFormatting sqref="A80:A81">
    <cfRule type="duplicateValues" dxfId="3" priority="1"/>
    <cfRule type="duplicateValues" dxfId="2" priority="2"/>
  </conditionalFormatting>
  <conditionalFormatting sqref="A94:A112 A22:A38 A40:A62 A72:A79 A82:A91 A66:A70">
    <cfRule type="duplicateValues" dxfId="1" priority="3"/>
    <cfRule type="duplicateValues" dxfId="0" priority="4"/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洋洋</dc:creator>
  <cp:lastModifiedBy>Yunzhu Lai</cp:lastModifiedBy>
  <dcterms:created xsi:type="dcterms:W3CDTF">2015-06-05T18:19:34Z</dcterms:created>
  <dcterms:modified xsi:type="dcterms:W3CDTF">2025-09-20T11:13:18Z</dcterms:modified>
</cp:coreProperties>
</file>