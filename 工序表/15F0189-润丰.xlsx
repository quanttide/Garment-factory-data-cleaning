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15F0189" sheetId="1" r:id="rId1"/>
    <sheet name="15F0189 (2)" sheetId="3" r:id="rId2"/>
  </sheets>
  <externalReferences>
    <externalReference r:id="rId3"/>
  </externalReferences>
  <definedNames>
    <definedName name="_xlnm._FilterDatabase" localSheetId="0" hidden="1">'15F0189'!$A$20:$BT$74</definedName>
    <definedName name="_xlnm._FilterDatabase" localSheetId="1" hidden="1">'15F0189 (2)'!$A$20:$BT$73</definedName>
    <definedName name="_xlnm.Print_Titles" localSheetId="0">'15F0189'!$1:$20</definedName>
    <definedName name="_xlnm.Print_Titles" localSheetId="1">'15F0189 (2)'!$1:$20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<sst xmlns="http://schemas.openxmlformats.org/spreadsheetml/2006/main" count="454" uniqueCount="143">
  <si>
    <t>重庆尚上服饰有限公司</t>
  </si>
  <si>
    <t>款式工序表</t>
  </si>
  <si>
    <t>打印日期：2025-05-21 10:34:57</t>
  </si>
  <si>
    <t>生产制单号：</t>
  </si>
  <si>
    <t>15F0189</t>
  </si>
  <si>
    <t>客　　户：</t>
  </si>
  <si>
    <t>上海润昌</t>
  </si>
  <si>
    <t>客户款号：</t>
  </si>
  <si>
    <t>款式描述：</t>
  </si>
  <si>
    <t>针织基础款圆领衫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</si>
  <si>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</si>
  <si>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</si>
  <si>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</si>
  <si>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</si>
  <si>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</si>
  <si>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</si>
  <si>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</si>
  <si>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</si>
  <si>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</si>
  <si>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</si>
  <si>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</si>
  <si>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</si>
  <si>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</si>
  <si>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</si>
  <si>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</si>
  <si>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</si>
  <si>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</si>
  <si>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</si>
  <si>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</si>
  <si>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</si>
  <si>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</si>
  <si>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松面布布0.7</t>
  </si>
  <si>
    <t>松布机</t>
  </si>
  <si>
    <t>E1</t>
  </si>
  <si>
    <t>拉面布</t>
  </si>
  <si>
    <t>拉面布*0.45</t>
  </si>
  <si>
    <t>拉布机</t>
  </si>
  <si>
    <t>E3</t>
  </si>
  <si>
    <t>裁面布</t>
  </si>
  <si>
    <t>裁剪片色面布*3（150-190层手工裁剪）</t>
  </si>
  <si>
    <t>电剪刀</t>
  </si>
  <si>
    <t>D4</t>
  </si>
  <si>
    <t>拉网布</t>
  </si>
  <si>
    <t>拉网眼面布*0.25</t>
  </si>
  <si>
    <t>裁网布</t>
  </si>
  <si>
    <t>裁剪网眼布*1（150-190层手工裁剪）</t>
  </si>
  <si>
    <t>网眼布分包</t>
  </si>
  <si>
    <t>网眼布分包*1（大包）</t>
  </si>
  <si>
    <t>手工</t>
  </si>
  <si>
    <t>E2</t>
  </si>
  <si>
    <t>面布分包</t>
  </si>
  <si>
    <t>面布分包*3</t>
  </si>
  <si>
    <t>打编号*3</t>
  </si>
  <si>
    <t>烫后领主标/撕标*1</t>
  </si>
  <si>
    <t>压烫机</t>
  </si>
  <si>
    <t>烫后片LOGO标/撕标*1</t>
  </si>
  <si>
    <t>验片*配补片</t>
  </si>
  <si>
    <t>验片*/配补片*4</t>
  </si>
  <si>
    <t>切领捆条*0.05</t>
  </si>
  <si>
    <t>切捆条机</t>
  </si>
  <si>
    <t>下裁片</t>
  </si>
  <si>
    <t>2-组合</t>
  </si>
  <si>
    <t>挂片</t>
  </si>
  <si>
    <t>挂片/补换片</t>
  </si>
  <si>
    <t>平车订侧缝洗水标</t>
  </si>
  <si>
    <t>平车订侧缝洗水标*2（车台定位）</t>
  </si>
  <si>
    <t>电脑平车</t>
  </si>
  <si>
    <t>四线合右肩缝连落透明带</t>
  </si>
  <si>
    <t>四线合右肩缝连落透明带*1</t>
  </si>
  <si>
    <t>电脑四线锁边车</t>
  </si>
  <si>
    <t>C2</t>
  </si>
  <si>
    <t>双针冚车拉筒拉领捆条</t>
  </si>
  <si>
    <t>双针冚车拉筒拉领捆条*1(连剪）</t>
  </si>
  <si>
    <t>电脑双针三线冚车</t>
  </si>
  <si>
    <t>C1</t>
  </si>
  <si>
    <t>平车合左肩领捆条一段</t>
  </si>
  <si>
    <t>平车合左肩领捆条一段*1</t>
  </si>
  <si>
    <t>C4</t>
  </si>
  <si>
    <t>四线合左肩连落透明肩带</t>
  </si>
  <si>
    <t>#四线合左肩连落透明肩带*1（领捆条已固定）</t>
  </si>
  <si>
    <t>平车折订左肩领锁边线连折订骨位</t>
  </si>
  <si>
    <t>平车折订左肩领锁边线连折订骨位*1</t>
  </si>
  <si>
    <t>四线对位上开袖</t>
  </si>
  <si>
    <t>#四线对位上开袖*2</t>
  </si>
  <si>
    <t>四线合侧缝及锁袖底缝</t>
  </si>
  <si>
    <t>四线合侧缝及锁袖底缝*2</t>
  </si>
  <si>
    <t>双针冚车对骨冚袖口明线</t>
  </si>
  <si>
    <t>双针冚车对骨冚袖口明线*2</t>
  </si>
  <si>
    <t>B1</t>
  </si>
  <si>
    <t>冚车冚下摆</t>
  </si>
  <si>
    <t>冚车冚下摆*1</t>
  </si>
  <si>
    <t>中查</t>
  </si>
  <si>
    <t>检验</t>
  </si>
  <si>
    <t>组检成品</t>
  </si>
  <si>
    <t>E4</t>
  </si>
  <si>
    <t>3-尾部</t>
  </si>
  <si>
    <t>大烫</t>
  </si>
  <si>
    <t>整烫（尾部）</t>
  </si>
  <si>
    <t>尾查</t>
  </si>
  <si>
    <t>检验/剪线毛</t>
  </si>
  <si>
    <t>尾部收货</t>
  </si>
  <si>
    <t>手工分色分码</t>
  </si>
  <si>
    <t>手工分PO</t>
  </si>
  <si>
    <t>包装搬运</t>
  </si>
  <si>
    <r>
      <rPr>
        <sz val="10"/>
        <rFont val="宋体"/>
        <charset val="134"/>
        <scheme val="minor"/>
      </rPr>
      <t>查码/</t>
    </r>
    <r>
      <rPr>
        <sz val="10"/>
        <color rgb="FFFF0000"/>
        <rFont val="宋体"/>
        <charset val="134"/>
        <scheme val="minor"/>
      </rPr>
      <t>查缸号标</t>
    </r>
  </si>
  <si>
    <t>手工查码</t>
  </si>
  <si>
    <t>手工分缸号</t>
  </si>
  <si>
    <t>手工贴彩盒价格贴纸*1</t>
  </si>
  <si>
    <t>手工贴彩盒价格贴纸*1  1/3</t>
  </si>
  <si>
    <t>手工贴彩盒价格贴纸、UPC贴纸*1 1/3（网单）</t>
  </si>
  <si>
    <t>手工贴彩盒价格贴纸、UPC贴纸*1 1/3（网单7632件）</t>
  </si>
  <si>
    <t xml:space="preserve">手工贴彩盒两边双面胶连剪断*1 </t>
  </si>
  <si>
    <t>手工贴彩盒两边双面胶连剪断*1   1/3</t>
  </si>
  <si>
    <t>EE</t>
  </si>
  <si>
    <t>手工撕掉两边双面胶折叠小彩盒*1</t>
  </si>
  <si>
    <t>手工撕掉两边双面胶折叠小彩盒*1   1/3</t>
  </si>
  <si>
    <t>折叠</t>
  </si>
  <si>
    <t>手工单件折叠(卷叠）*1</t>
  </si>
  <si>
    <t>独色独码装3件入彩盒连放干燥剂、盖盖子*1</t>
  </si>
  <si>
    <t>独色独码装3件入彩盒连放干燥剂、盖盖子*1 1/3</t>
  </si>
  <si>
    <t>透明胶封彩盒开口处*1</t>
  </si>
  <si>
    <t>透明胶封彩盒开口处*1   1/3</t>
  </si>
  <si>
    <t>手工贴彩盒透明圆形贴纸2个连贴尺码贴纸*1</t>
  </si>
  <si>
    <t>手工贴彩盒透明圆形贴纸2个连贴尺码贴纸*1 1/3</t>
  </si>
  <si>
    <t>验针</t>
  </si>
  <si>
    <t>验针机验针(彩盒后验针） 1/3</t>
  </si>
  <si>
    <t>手工折叠展示盒</t>
  </si>
  <si>
    <t>手工折叠展示盒*1  1/72（打热熔胶）</t>
  </si>
  <si>
    <t>装箱前检查包装</t>
  </si>
  <si>
    <t>入展示盒前检查包装   1/3</t>
  </si>
  <si>
    <t>单码24小盒入一个展示盒入托盘</t>
  </si>
  <si>
    <t>一层4个展示盒共16个展示盒1152件(拉纸箱、天地盖、固定横柱、立柱）</t>
  </si>
  <si>
    <t>一层4个展示盒共16个展示盒1152件(拉纸箱、天地盖、固定横柱、立柱）1/1152</t>
  </si>
  <si>
    <t>缠托盘保鲜模1/2304</t>
  </si>
  <si>
    <t>缠托盘保鲜模1/2304（2个全托上托盘一起缠膜贴贴纸*2）</t>
  </si>
  <si>
    <t>装箱</t>
  </si>
  <si>
    <t>独色独码24盒入展示盒装纸箱72件/箱（拉纸箱、写箱号、封箱底、缠上缠绕膜、贴贴纸、盖章、放侧板、天地板、盖章）网单7632件</t>
  </si>
  <si>
    <t>约28个纸箱重叠缠保鲜膜 1/2016（网单）</t>
  </si>
  <si>
    <t>约28个纸箱重叠缠保鲜膜 1/2016（网单7632件）</t>
  </si>
  <si>
    <t>制表人：钱玲燕      审核：　　　    　 审批：　        批准：                          　　　　</t>
  </si>
  <si>
    <t>单码24小盒入一个展示盒入托盘，一层4个展示盒共16个展示盒1152件</t>
  </si>
  <si>
    <t>单码24小盒入一个展示盒入托盘，一层4个展示盒共16个展示盒1152件(拉纸箱、天地盖、固定横柱、立柱）1/1152</t>
  </si>
  <si>
    <r>
      <rPr>
        <sz val="10"/>
        <color theme="1"/>
        <rFont val="宋体"/>
        <charset val="134"/>
        <scheme val="minor"/>
      </rPr>
      <t>缠托盘保鲜模1/2304（2个全托上托盘一起缠膜贴贴纸</t>
    </r>
    <r>
      <rPr>
        <sz val="10"/>
        <color rgb="FFFF0000"/>
        <rFont val="宋体"/>
        <charset val="134"/>
        <scheme val="minor"/>
      </rPr>
      <t>*2</t>
    </r>
    <r>
      <rPr>
        <sz val="10"/>
        <color theme="1"/>
        <rFont val="宋体"/>
        <charset val="134"/>
        <scheme val="minor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</si>
</sst>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20"/>
      <name val="宋体"/>
      <charset val="134"/>
      <scheme val="minor"/>
    </font>
    <font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1" fillId="0" borderId="0" xfId="0" applyFont="1" applyFill="1" applyAlignment="1">
      <alignment vertical="center" shrinkToFit="1"/>
    </xf>
    <xf numFmtId="0" fontId="1" fillId="0" borderId="0" xfId="0" applyFont="1" applyAlignment="1">
      <alignment vertical="center" wrapText="1" shrinkToFit="1"/>
    </xf>
    <xf numFmtId="0" fontId="1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1" fillId="0" borderId="5" xfId="0" applyFont="1" applyFill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wrapText="1" shrinkToFi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shrinkToFi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>
      <alignment vertical="center"/>
    </xf>
    <xf numFmtId="0" fontId="10" fillId="0" borderId="1" xfId="0" applyFont="1" applyFill="1" applyBorder="1">
      <alignment vertical="center"/>
    </xf>
    <xf numFmtId="49" fontId="2" fillId="3" borderId="1" xfId="0" applyNumberFormat="1" applyFont="1" applyFill="1" applyBorder="1" applyAlignment="1">
      <alignment vertical="center" shrinkToFit="1"/>
    </xf>
    <xf numFmtId="49" fontId="1" fillId="0" borderId="1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Border="1" applyAlignment="1">
      <alignment vertical="center" wrapText="1" shrinkToFit="1"/>
    </xf>
    <xf numFmtId="49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>
      <alignment vertical="center"/>
    </xf>
    <xf numFmtId="177" fontId="1" fillId="0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 wrapText="1" shrinkToFi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 shrinkToFit="1"/>
    </xf>
    <xf numFmtId="0" fontId="2" fillId="3" borderId="11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vertical="center" wrapText="1" shrinkToFi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Alignment="1">
      <alignment vertical="center" wrapText="1"/>
    </xf>
    <xf numFmtId="0" fontId="11" fillId="3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vertical="center" shrinkToFit="1"/>
    </xf>
    <xf numFmtId="49" fontId="1" fillId="0" borderId="1" xfId="0" applyNumberFormat="1" applyFont="1" applyFill="1" applyBorder="1" applyAlignment="1">
      <alignment vertical="center" wrapText="1"/>
    </xf>
    <xf numFmtId="177" fontId="1" fillId="0" borderId="1" xfId="0" applyNumberFormat="1" applyFont="1" applyFill="1" applyBorder="1" applyAlignment="1">
      <alignment vertical="center"/>
    </xf>
    <xf numFmtId="177" fontId="11" fillId="0" borderId="1" xfId="0" applyNumberFormat="1" applyFont="1" applyBorder="1">
      <alignment vertical="center"/>
    </xf>
    <xf numFmtId="177" fontId="11" fillId="0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176" fontId="1" fillId="0" borderId="1" xfId="0" applyNumberFormat="1" applyFont="1" applyFill="1" applyBorder="1" applyAlignment="1">
      <alignment vertical="center"/>
    </xf>
    <xf numFmtId="49" fontId="11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82550</xdr:colOff>
      <xdr:row>5</xdr:row>
      <xdr:rowOff>57150</xdr:rowOff>
    </xdr:from>
    <xdr:to>
      <xdr:col>8</xdr:col>
      <xdr:colOff>427989</xdr:colOff>
      <xdr:row>14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45000" y="1095375"/>
          <a:ext cx="2859405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82550</xdr:colOff>
      <xdr:row>5</xdr:row>
      <xdr:rowOff>57150</xdr:rowOff>
    </xdr:from>
    <xdr:to>
      <xdr:col>8</xdr:col>
      <xdr:colOff>427355</xdr:colOff>
      <xdr:row>14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49825" y="1095375"/>
          <a:ext cx="2859405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5F0189&#35009;&#24202;&#21040;&#23614;&#37096;-&#36130;&#211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5F0189"/>
    </sheetNames>
    <sheetDataSet>
      <sheetData sheetId="0">
        <row r="1">
          <cell r="A1" t="str">
            <v>重庆尚上服饰有限公司</v>
          </cell>
        </row>
        <row r="2">
          <cell r="A2" t="str">
            <v>款式工序表</v>
          </cell>
        </row>
        <row r="3">
          <cell r="A3" t="str">
            <v>打印日期：2025-06-06 16:24:26</v>
          </cell>
        </row>
        <row r="4">
          <cell r="A4" t="str">
            <v>生产制单号：</v>
          </cell>
          <cell r="B4" t="str">
            <v>15F0189</v>
          </cell>
        </row>
        <row r="5">
          <cell r="A5" t="str">
            <v>客　　户：</v>
          </cell>
          <cell r="B5" t="str">
            <v>上海润昌</v>
          </cell>
        </row>
        <row r="6">
          <cell r="A6" t="str">
            <v>客户款号：</v>
          </cell>
          <cell r="B6" t="str">
            <v>15F0189</v>
          </cell>
        </row>
        <row r="7">
          <cell r="A7" t="str">
            <v>款式描述：</v>
          </cell>
          <cell r="B7" t="str">
            <v>针织基础款圆领衫</v>
          </cell>
        </row>
        <row r="8">
          <cell r="A8" t="str">
            <v>品质标准：</v>
          </cell>
        </row>
        <row r="9">
          <cell r="A9" t="str">
            <v>数　　量：</v>
          </cell>
        </row>
        <row r="10">
          <cell r="A10" t="str">
            <v>车缝时间：</v>
          </cell>
          <cell r="B10">
            <v>259.1</v>
          </cell>
        </row>
        <row r="11">
          <cell r="A11" t="str">
            <v>车缝10H台产：</v>
          </cell>
          <cell r="B11">
            <v>138.942493245851</v>
          </cell>
        </row>
        <row r="12">
          <cell r="A12" t="str">
            <v>裁床10H台产：</v>
          </cell>
        </row>
        <row r="13">
          <cell r="A13" t="str">
            <v>尾部10H台产</v>
          </cell>
        </row>
        <row r="14">
          <cell r="A14" t="str">
            <v>裁床单价：</v>
          </cell>
          <cell r="B14">
            <v>0.2577</v>
          </cell>
        </row>
        <row r="15">
          <cell r="A15" t="str">
            <v>车缝单价：</v>
          </cell>
          <cell r="B15">
            <v>1.0392</v>
          </cell>
        </row>
        <row r="16">
          <cell r="A16" t="str">
            <v>后道单价：</v>
          </cell>
          <cell r="B16">
            <v>0.5575</v>
          </cell>
        </row>
        <row r="17">
          <cell r="A17" t="str">
            <v>总 单 价：</v>
          </cell>
        </row>
        <row r="18">
          <cell r="A18" t="str">
            <v>平均秒值：</v>
          </cell>
        </row>
        <row r="19">
          <cell r="A19" t="str">
            <v>分 析 员：</v>
          </cell>
          <cell r="B19" t="str">
            <v>QLY-钱玲燕</v>
          </cell>
        </row>
        <row r="20">
          <cell r="A20" t="str">
            <v>工序号</v>
          </cell>
          <cell r="B20" t="str">
            <v>工序名称</v>
          </cell>
          <cell r="C20" t="str">
            <v>机器类型</v>
          </cell>
          <cell r="D20" t="str">
            <v>基础时间</v>
          </cell>
          <cell r="E20" t="str">
            <v>GST时间</v>
          </cell>
          <cell r="F20" t="str">
            <v>工序等级</v>
          </cell>
          <cell r="G20" t="str">
            <v>小时目标</v>
          </cell>
          <cell r="H20" t="str">
            <v>标准单价</v>
          </cell>
        </row>
        <row r="21">
          <cell r="B21" t="str">
            <v>1-裁床</v>
          </cell>
        </row>
        <row r="22">
          <cell r="A22">
            <v>1</v>
          </cell>
          <cell r="B22" t="str">
            <v>松AB面布*0.85</v>
          </cell>
          <cell r="C22" t="str">
            <v>松布机</v>
          </cell>
          <cell r="D22">
            <v>3.9</v>
          </cell>
          <cell r="E22">
            <v>4.4</v>
          </cell>
          <cell r="F22" t="str">
            <v>E1</v>
          </cell>
          <cell r="G22">
            <v>818</v>
          </cell>
          <cell r="H22">
            <v>0.0136</v>
          </cell>
        </row>
        <row r="23">
          <cell r="A23">
            <v>2</v>
          </cell>
          <cell r="B23" t="str">
            <v>拉面布*0.43</v>
          </cell>
          <cell r="C23" t="str">
            <v>手工</v>
          </cell>
          <cell r="D23">
            <v>6.6</v>
          </cell>
          <cell r="E23">
            <v>7.2</v>
          </cell>
          <cell r="F23" t="str">
            <v>E3</v>
          </cell>
          <cell r="G23">
            <v>500</v>
          </cell>
          <cell r="H23">
            <v>0.0238</v>
          </cell>
        </row>
        <row r="24">
          <cell r="A24">
            <v>3</v>
          </cell>
          <cell r="B24" t="str">
            <v>裁剪片色面布*3</v>
          </cell>
          <cell r="C24" t="str">
            <v>手工</v>
          </cell>
          <cell r="D24">
            <v>2.9</v>
          </cell>
          <cell r="E24">
            <v>3.2</v>
          </cell>
          <cell r="F24" t="str">
            <v>D4</v>
          </cell>
          <cell r="G24">
            <v>1125</v>
          </cell>
          <cell r="H24">
            <v>0.0122</v>
          </cell>
        </row>
        <row r="25">
          <cell r="A25">
            <v>4</v>
          </cell>
          <cell r="B25" t="str">
            <v>拉网眼面布*0.42</v>
          </cell>
          <cell r="C25" t="str">
            <v>手工</v>
          </cell>
          <cell r="D25">
            <v>6.9</v>
          </cell>
          <cell r="E25">
            <v>7.6</v>
          </cell>
          <cell r="F25" t="str">
            <v>E3</v>
          </cell>
          <cell r="G25">
            <v>474</v>
          </cell>
          <cell r="H25">
            <v>0.0251</v>
          </cell>
        </row>
        <row r="26">
          <cell r="A26">
            <v>5</v>
          </cell>
          <cell r="B26" t="str">
            <v>裁剪网眼布*1</v>
          </cell>
          <cell r="C26" t="str">
            <v>手工</v>
          </cell>
          <cell r="D26">
            <v>1.1</v>
          </cell>
          <cell r="E26">
            <v>1.2</v>
          </cell>
          <cell r="F26" t="str">
            <v>D4</v>
          </cell>
          <cell r="G26">
            <v>3000</v>
          </cell>
          <cell r="H26">
            <v>0.0046</v>
          </cell>
        </row>
        <row r="27">
          <cell r="A27">
            <v>6</v>
          </cell>
          <cell r="B27" t="str">
            <v>网眼布分包*1（大包）</v>
          </cell>
          <cell r="C27" t="str">
            <v>手工</v>
          </cell>
          <cell r="D27">
            <v>0.5</v>
          </cell>
          <cell r="E27">
            <v>0.6</v>
          </cell>
          <cell r="F27" t="str">
            <v>E2</v>
          </cell>
          <cell r="G27">
            <v>6000</v>
          </cell>
          <cell r="H27">
            <v>0.0019</v>
          </cell>
        </row>
        <row r="28">
          <cell r="A28">
            <v>7</v>
          </cell>
          <cell r="B28" t="str">
            <v>面布分包*3</v>
          </cell>
          <cell r="C28" t="str">
            <v>手工</v>
          </cell>
          <cell r="D28">
            <v>3.5</v>
          </cell>
          <cell r="E28">
            <v>3.8</v>
          </cell>
          <cell r="F28" t="str">
            <v>E2</v>
          </cell>
          <cell r="G28">
            <v>947</v>
          </cell>
          <cell r="H28">
            <v>0.0122</v>
          </cell>
        </row>
        <row r="29">
          <cell r="A29">
            <v>8</v>
          </cell>
          <cell r="B29" t="str">
            <v>面布打编号*3</v>
          </cell>
          <cell r="C29" t="str">
            <v>手工</v>
          </cell>
          <cell r="D29">
            <v>3.6</v>
          </cell>
          <cell r="E29">
            <v>3.9</v>
          </cell>
          <cell r="F29" t="str">
            <v>E2</v>
          </cell>
          <cell r="G29">
            <v>923</v>
          </cell>
          <cell r="H29">
            <v>0.0125</v>
          </cell>
        </row>
        <row r="30">
          <cell r="A30">
            <v>9</v>
          </cell>
          <cell r="B30" t="str">
            <v>烫后领主标/撕标*1  （一次四件）</v>
          </cell>
          <cell r="C30" t="str">
            <v>烫标机</v>
          </cell>
          <cell r="D30">
            <v>18</v>
          </cell>
          <cell r="E30">
            <v>18</v>
          </cell>
          <cell r="F30" t="str">
            <v>E2</v>
          </cell>
          <cell r="G30">
            <v>200</v>
          </cell>
          <cell r="H30">
            <v>0.0576</v>
          </cell>
        </row>
        <row r="31">
          <cell r="A31">
            <v>10</v>
          </cell>
          <cell r="B31" t="str">
            <v>烫后片LOGO标/撕标*1  （一次四件）</v>
          </cell>
          <cell r="C31" t="str">
            <v>烫标机</v>
          </cell>
          <cell r="D31">
            <v>18</v>
          </cell>
          <cell r="E31">
            <v>18</v>
          </cell>
          <cell r="F31" t="str">
            <v>E2</v>
          </cell>
          <cell r="G31">
            <v>200</v>
          </cell>
          <cell r="H31">
            <v>0.0576</v>
          </cell>
        </row>
        <row r="32">
          <cell r="A32">
            <v>11</v>
          </cell>
          <cell r="B32" t="str">
            <v>验片*/配补片*4</v>
          </cell>
          <cell r="C32" t="str">
            <v>手工</v>
          </cell>
          <cell r="D32">
            <v>8.8</v>
          </cell>
          <cell r="E32">
            <v>9.7</v>
          </cell>
          <cell r="F32" t="str">
            <v>E3</v>
          </cell>
          <cell r="G32">
            <v>371</v>
          </cell>
          <cell r="H32">
            <v>0.032</v>
          </cell>
        </row>
        <row r="33">
          <cell r="A33">
            <v>12</v>
          </cell>
          <cell r="B33" t="str">
            <v>切领横纹捆条*0.017</v>
          </cell>
          <cell r="C33" t="str">
            <v>切捆条机</v>
          </cell>
          <cell r="D33">
            <v>1.2</v>
          </cell>
          <cell r="E33">
            <v>1.4</v>
          </cell>
          <cell r="F33" t="str">
            <v>E3</v>
          </cell>
          <cell r="G33">
            <v>2571</v>
          </cell>
          <cell r="H33">
            <v>0.0046</v>
          </cell>
        </row>
        <row r="34">
          <cell r="B34" t="str">
            <v>2-组合</v>
          </cell>
        </row>
        <row r="35">
          <cell r="A35">
            <v>13</v>
          </cell>
          <cell r="B35" t="str">
            <v>挂片/补换片</v>
          </cell>
          <cell r="C35" t="str">
            <v>手工</v>
          </cell>
          <cell r="D35">
            <v>18.7</v>
          </cell>
          <cell r="E35">
            <v>20.7</v>
          </cell>
          <cell r="F35" t="str">
            <v>E3</v>
          </cell>
          <cell r="G35">
            <v>174</v>
          </cell>
          <cell r="H35">
            <v>0.0683</v>
          </cell>
        </row>
        <row r="36">
          <cell r="A36">
            <v>14</v>
          </cell>
          <cell r="B36" t="str">
            <v>平车订侧缝洗水标*2（车台定位）</v>
          </cell>
          <cell r="C36" t="str">
            <v>电脑平车</v>
          </cell>
          <cell r="D36">
            <v>10.3</v>
          </cell>
          <cell r="E36">
            <v>11.5</v>
          </cell>
          <cell r="F36" t="str">
            <v>D4</v>
          </cell>
          <cell r="G36">
            <v>313</v>
          </cell>
          <cell r="H36">
            <v>0.0437</v>
          </cell>
        </row>
        <row r="37">
          <cell r="A37">
            <v>15</v>
          </cell>
          <cell r="B37" t="str">
            <v>四线合右肩缝连落透明带*1</v>
          </cell>
          <cell r="C37" t="str">
            <v>电脑四线锁边车</v>
          </cell>
          <cell r="D37">
            <v>12</v>
          </cell>
          <cell r="E37">
            <v>13.4</v>
          </cell>
          <cell r="F37" t="str">
            <v>C2</v>
          </cell>
          <cell r="G37">
            <v>269</v>
          </cell>
          <cell r="H37">
            <v>0.0536</v>
          </cell>
        </row>
        <row r="38">
          <cell r="A38">
            <v>16</v>
          </cell>
          <cell r="B38" t="str">
            <v>双针冚车拉筒拉领捆条*1(连剪）</v>
          </cell>
          <cell r="C38" t="str">
            <v>电脑双针三线冚车</v>
          </cell>
          <cell r="D38">
            <v>19.4</v>
          </cell>
          <cell r="E38">
            <v>21.8</v>
          </cell>
          <cell r="F38" t="str">
            <v>C1</v>
          </cell>
          <cell r="G38">
            <v>165</v>
          </cell>
          <cell r="H38">
            <v>0.085</v>
          </cell>
        </row>
        <row r="39">
          <cell r="A39">
            <v>17</v>
          </cell>
          <cell r="B39" t="str">
            <v>平车合左肩领捆条一段*1</v>
          </cell>
          <cell r="C39" t="str">
            <v>电脑平车</v>
          </cell>
          <cell r="D39">
            <v>8.6</v>
          </cell>
          <cell r="E39">
            <v>9.5</v>
          </cell>
          <cell r="F39" t="str">
            <v>C4</v>
          </cell>
          <cell r="G39">
            <v>379</v>
          </cell>
          <cell r="H39">
            <v>0.0399</v>
          </cell>
        </row>
        <row r="40">
          <cell r="A40">
            <v>18</v>
          </cell>
          <cell r="B40" t="str">
            <v>#四线合左肩连落透明肩带*1（领捆条已固定）</v>
          </cell>
          <cell r="C40" t="str">
            <v>电脑四线锁边车</v>
          </cell>
          <cell r="D40">
            <v>9.4</v>
          </cell>
          <cell r="E40">
            <v>10.4</v>
          </cell>
          <cell r="F40" t="str">
            <v>C1</v>
          </cell>
          <cell r="G40">
            <v>346</v>
          </cell>
          <cell r="H40">
            <v>0.0406</v>
          </cell>
        </row>
        <row r="41">
          <cell r="A41">
            <v>19</v>
          </cell>
          <cell r="B41" t="str">
            <v>平车折订左肩领锁边线连折订骨位*1</v>
          </cell>
          <cell r="C41" t="str">
            <v>电脑平车</v>
          </cell>
          <cell r="D41">
            <v>10.8</v>
          </cell>
          <cell r="E41">
            <v>12</v>
          </cell>
          <cell r="F41" t="str">
            <v>C4</v>
          </cell>
          <cell r="G41">
            <v>300</v>
          </cell>
          <cell r="H41">
            <v>0.0504</v>
          </cell>
        </row>
        <row r="42">
          <cell r="A42">
            <v>20</v>
          </cell>
          <cell r="B42" t="str">
            <v>#四线对位上开袖*2</v>
          </cell>
          <cell r="C42" t="str">
            <v>电脑四线锁边车</v>
          </cell>
          <cell r="D42">
            <v>32.3</v>
          </cell>
          <cell r="E42">
            <v>36</v>
          </cell>
          <cell r="F42" t="str">
            <v>C4</v>
          </cell>
          <cell r="G42">
            <v>100</v>
          </cell>
          <cell r="H42">
            <v>0.1512</v>
          </cell>
        </row>
        <row r="43">
          <cell r="A43">
            <v>21</v>
          </cell>
          <cell r="B43" t="str">
            <v>四线合侧缝及锁袖底缝*2</v>
          </cell>
          <cell r="C43" t="str">
            <v>电脑四线锁边车</v>
          </cell>
          <cell r="D43">
            <v>39.6</v>
          </cell>
          <cell r="E43">
            <v>44.4</v>
          </cell>
          <cell r="F43" t="str">
            <v>C4</v>
          </cell>
          <cell r="G43">
            <v>81</v>
          </cell>
          <cell r="H43">
            <v>0.1865</v>
          </cell>
        </row>
        <row r="44">
          <cell r="A44">
            <v>22</v>
          </cell>
          <cell r="B44" t="str">
            <v>双针冚车对骨冚袖口明线*2</v>
          </cell>
          <cell r="C44" t="str">
            <v>电脑双针三线冚车</v>
          </cell>
          <cell r="D44">
            <v>24.9</v>
          </cell>
          <cell r="E44">
            <v>28</v>
          </cell>
          <cell r="F44" t="str">
            <v>B1</v>
          </cell>
          <cell r="G44">
            <v>129</v>
          </cell>
          <cell r="H44">
            <v>0.1204</v>
          </cell>
        </row>
        <row r="45">
          <cell r="A45">
            <v>23</v>
          </cell>
          <cell r="B45" t="str">
            <v>冚车冚下摆*1</v>
          </cell>
          <cell r="C45" t="str">
            <v>电脑双针三线冚车</v>
          </cell>
          <cell r="D45">
            <v>24.2</v>
          </cell>
          <cell r="E45">
            <v>27.5</v>
          </cell>
          <cell r="F45" t="str">
            <v>B1</v>
          </cell>
          <cell r="G45">
            <v>131</v>
          </cell>
          <cell r="H45">
            <v>0.1183</v>
          </cell>
        </row>
        <row r="46">
          <cell r="A46">
            <v>24</v>
          </cell>
          <cell r="B46" t="str">
            <v>检验</v>
          </cell>
          <cell r="C46" t="str">
            <v>组检成品</v>
          </cell>
          <cell r="D46">
            <v>21.6</v>
          </cell>
          <cell r="E46">
            <v>23.9</v>
          </cell>
          <cell r="F46" t="str">
            <v>E4</v>
          </cell>
          <cell r="G46">
            <v>151</v>
          </cell>
          <cell r="H46">
            <v>0.0813</v>
          </cell>
        </row>
        <row r="47">
          <cell r="B47" t="str">
            <v>3-尾部</v>
          </cell>
        </row>
        <row r="48">
          <cell r="A48">
            <v>25</v>
          </cell>
          <cell r="B48" t="str">
            <v>大烫</v>
          </cell>
          <cell r="C48" t="str">
            <v>整烫（尾部）</v>
          </cell>
          <cell r="D48">
            <v>37.3</v>
          </cell>
          <cell r="E48">
            <v>41.9</v>
          </cell>
          <cell r="F48" t="str">
            <v>B1</v>
          </cell>
          <cell r="G48">
            <v>86</v>
          </cell>
          <cell r="H48">
            <v>0.1802</v>
          </cell>
        </row>
        <row r="49">
          <cell r="A49">
            <v>26</v>
          </cell>
          <cell r="B49" t="str">
            <v>检验/剪线毛</v>
          </cell>
          <cell r="C49" t="str">
            <v>手工</v>
          </cell>
          <cell r="D49">
            <v>34.2</v>
          </cell>
          <cell r="E49">
            <v>37.8</v>
          </cell>
          <cell r="F49" t="str">
            <v>E4</v>
          </cell>
          <cell r="G49">
            <v>95</v>
          </cell>
          <cell r="H49">
            <v>0.1285</v>
          </cell>
        </row>
        <row r="50">
          <cell r="A50">
            <v>27</v>
          </cell>
          <cell r="B50" t="str">
            <v>手工分色分码</v>
          </cell>
          <cell r="C50" t="str">
            <v>手工</v>
          </cell>
          <cell r="D50">
            <v>5.7</v>
          </cell>
          <cell r="E50">
            <v>6.3</v>
          </cell>
          <cell r="F50" t="str">
            <v>E1</v>
          </cell>
          <cell r="G50">
            <v>571</v>
          </cell>
          <cell r="H50">
            <v>0.0195</v>
          </cell>
        </row>
        <row r="51">
          <cell r="A51">
            <v>28</v>
          </cell>
          <cell r="B51" t="str">
            <v>手工分PO</v>
          </cell>
          <cell r="C51" t="str">
            <v>手工</v>
          </cell>
          <cell r="D51">
            <v>2.9</v>
          </cell>
          <cell r="E51">
            <v>3.2</v>
          </cell>
          <cell r="F51" t="str">
            <v>E1</v>
          </cell>
          <cell r="G51">
            <v>1125</v>
          </cell>
          <cell r="H51">
            <v>0.0099</v>
          </cell>
        </row>
        <row r="52">
          <cell r="A52">
            <v>37</v>
          </cell>
          <cell r="B52" t="str">
            <v>包装搬运</v>
          </cell>
          <cell r="C52" t="str">
            <v>手工</v>
          </cell>
          <cell r="D52">
            <v>3</v>
          </cell>
          <cell r="E52">
            <v>3.3</v>
          </cell>
          <cell r="F52" t="str">
            <v>E1</v>
          </cell>
          <cell r="G52">
            <v>1091</v>
          </cell>
          <cell r="H52">
            <v>0.0102</v>
          </cell>
        </row>
        <row r="53">
          <cell r="A53">
            <v>29</v>
          </cell>
          <cell r="B53" t="str">
            <v>手工查码</v>
          </cell>
          <cell r="C53" t="str">
            <v>手工</v>
          </cell>
          <cell r="D53">
            <v>3.7</v>
          </cell>
          <cell r="E53">
            <v>4.1</v>
          </cell>
          <cell r="F53" t="str">
            <v>E1</v>
          </cell>
          <cell r="G53">
            <v>878</v>
          </cell>
          <cell r="H53">
            <v>0.0127</v>
          </cell>
        </row>
        <row r="54">
          <cell r="A54">
            <v>30</v>
          </cell>
          <cell r="B54" t="str">
            <v>手工贴彩盒价格贴纸*1  1/3</v>
          </cell>
          <cell r="C54" t="str">
            <v>手工</v>
          </cell>
          <cell r="D54">
            <v>2.4</v>
          </cell>
          <cell r="E54">
            <v>2.7</v>
          </cell>
          <cell r="F54" t="str">
            <v>E1</v>
          </cell>
          <cell r="G54">
            <v>1333</v>
          </cell>
          <cell r="H54">
            <v>0.0084</v>
          </cell>
        </row>
        <row r="55">
          <cell r="A55">
            <v>46</v>
          </cell>
          <cell r="B55" t="str">
            <v>手工贴彩盒价格贴纸、UPC贴纸*1 1/3（网单7632件）</v>
          </cell>
          <cell r="C55" t="str">
            <v>手工</v>
          </cell>
          <cell r="D55">
            <v>4.3</v>
          </cell>
          <cell r="E55">
            <v>4.8</v>
          </cell>
          <cell r="F55" t="str">
            <v>E1</v>
          </cell>
          <cell r="G55">
            <v>750</v>
          </cell>
          <cell r="H55">
            <v>0.0149</v>
          </cell>
        </row>
        <row r="56">
          <cell r="A56">
            <v>47</v>
          </cell>
          <cell r="B56" t="str">
            <v>手工贴彩盒两边双面胶连剪断*1   1/3</v>
          </cell>
          <cell r="C56" t="str">
            <v>手工</v>
          </cell>
          <cell r="D56">
            <v>6.3</v>
          </cell>
          <cell r="E56">
            <v>7</v>
          </cell>
          <cell r="F56" t="str">
            <v>EE</v>
          </cell>
          <cell r="G56">
            <v>514</v>
          </cell>
          <cell r="H56">
            <v>0.0221</v>
          </cell>
        </row>
        <row r="57">
          <cell r="A57">
            <v>31</v>
          </cell>
          <cell r="B57" t="str">
            <v>手工撕掉两边双面胶折叠小彩盒*1   1/3</v>
          </cell>
          <cell r="C57" t="str">
            <v>手工</v>
          </cell>
          <cell r="D57">
            <v>4</v>
          </cell>
          <cell r="E57">
            <v>4.5</v>
          </cell>
          <cell r="F57" t="str">
            <v>E1</v>
          </cell>
          <cell r="G57">
            <v>800</v>
          </cell>
          <cell r="H57">
            <v>0.014</v>
          </cell>
        </row>
        <row r="58">
          <cell r="A58">
            <v>32</v>
          </cell>
          <cell r="B58" t="str">
            <v>手工单件折叠(卷叠）*1</v>
          </cell>
          <cell r="C58" t="str">
            <v>手工</v>
          </cell>
          <cell r="D58">
            <v>21.9</v>
          </cell>
          <cell r="E58">
            <v>24.2</v>
          </cell>
          <cell r="F58" t="str">
            <v>E1</v>
          </cell>
          <cell r="G58">
            <v>149</v>
          </cell>
          <cell r="H58">
            <v>0.075</v>
          </cell>
        </row>
        <row r="59">
          <cell r="A59">
            <v>33</v>
          </cell>
          <cell r="B59" t="str">
            <v>独色独码装3件入彩盒连放干燥剂、盖盖子*1 1/3</v>
          </cell>
          <cell r="C59" t="str">
            <v>手工</v>
          </cell>
          <cell r="D59">
            <v>6.1</v>
          </cell>
          <cell r="E59">
            <v>6.8</v>
          </cell>
          <cell r="F59" t="str">
            <v>E1</v>
          </cell>
          <cell r="G59">
            <v>529</v>
          </cell>
          <cell r="H59">
            <v>0.0211</v>
          </cell>
        </row>
        <row r="60">
          <cell r="A60">
            <v>34</v>
          </cell>
          <cell r="B60" t="str">
            <v>透明胶封彩盒开口处*1   1/3</v>
          </cell>
          <cell r="C60" t="str">
            <v>手工</v>
          </cell>
          <cell r="D60">
            <v>2.3</v>
          </cell>
          <cell r="E60">
            <v>2.6</v>
          </cell>
          <cell r="F60" t="str">
            <v>E1</v>
          </cell>
          <cell r="G60">
            <v>1385</v>
          </cell>
          <cell r="H60">
            <v>0.0081</v>
          </cell>
        </row>
        <row r="61">
          <cell r="A61">
            <v>35</v>
          </cell>
          <cell r="B61" t="str">
            <v>手工贴彩盒透明圆形贴纸2个连贴尺码贴纸*1 1/3</v>
          </cell>
          <cell r="C61" t="str">
            <v>手工</v>
          </cell>
          <cell r="D61">
            <v>5.4</v>
          </cell>
          <cell r="E61">
            <v>6</v>
          </cell>
          <cell r="F61" t="str">
            <v>E1</v>
          </cell>
          <cell r="G61">
            <v>600</v>
          </cell>
          <cell r="H61">
            <v>0.0186</v>
          </cell>
        </row>
        <row r="62">
          <cell r="A62">
            <v>38</v>
          </cell>
          <cell r="B62" t="str">
            <v>验针机验针(彩盒后验针） 1/3</v>
          </cell>
          <cell r="C62" t="str">
            <v>手工</v>
          </cell>
          <cell r="D62">
            <v>1.4</v>
          </cell>
          <cell r="E62">
            <v>1.6</v>
          </cell>
          <cell r="F62" t="str">
            <v>E1</v>
          </cell>
          <cell r="G62">
            <v>2250</v>
          </cell>
          <cell r="H62">
            <v>0.005</v>
          </cell>
        </row>
        <row r="63">
          <cell r="A63">
            <v>39</v>
          </cell>
          <cell r="B63" t="str">
            <v>手工折叠展示盒*1  1/72</v>
          </cell>
          <cell r="C63" t="str">
            <v>手工</v>
          </cell>
          <cell r="D63">
            <v>0.9</v>
          </cell>
          <cell r="E63">
            <v>1</v>
          </cell>
          <cell r="F63" t="str">
            <v>E1</v>
          </cell>
          <cell r="G63">
            <v>3600</v>
          </cell>
          <cell r="H63">
            <v>0.0031</v>
          </cell>
        </row>
        <row r="64">
          <cell r="A64">
            <v>40</v>
          </cell>
          <cell r="B64" t="str">
            <v>入展示盒前检查包装   1/3</v>
          </cell>
          <cell r="C64" t="str">
            <v>手工</v>
          </cell>
          <cell r="D64">
            <v>1.4</v>
          </cell>
          <cell r="E64">
            <v>1.6</v>
          </cell>
          <cell r="F64" t="str">
            <v>E1</v>
          </cell>
          <cell r="G64">
            <v>2250</v>
          </cell>
          <cell r="H64">
            <v>0.005</v>
          </cell>
        </row>
        <row r="65">
          <cell r="A65">
            <v>41</v>
          </cell>
          <cell r="B65" t="str">
            <v>单码24小盒入一个展示盒入托盘，一层4个展示盒共16个展示盒1152件(拉纸箱、天地盖、固定横柱、立柱）1/1152</v>
          </cell>
          <cell r="C65" t="str">
            <v>手工</v>
          </cell>
          <cell r="D65">
            <v>4.4</v>
          </cell>
          <cell r="E65">
            <v>4.9</v>
          </cell>
          <cell r="F65" t="str">
            <v>E1</v>
          </cell>
          <cell r="G65">
            <v>735</v>
          </cell>
          <cell r="H65">
            <v>0.0152</v>
          </cell>
        </row>
        <row r="66">
          <cell r="A66">
            <v>42</v>
          </cell>
          <cell r="B66" t="str">
            <v>缠托盘保鲜模1/2304（2个全托上托盘一起缠膜贴贴纸*2）</v>
          </cell>
          <cell r="C66" t="str">
            <v>手工</v>
          </cell>
          <cell r="D66">
            <v>0.3</v>
          </cell>
          <cell r="E66">
            <v>0.3</v>
          </cell>
          <cell r="F66" t="str">
            <v>E1</v>
          </cell>
          <cell r="G66">
            <v>12000</v>
          </cell>
          <cell r="H66">
            <v>0.0009</v>
          </cell>
        </row>
        <row r="67">
          <cell r="A67">
            <v>43</v>
          </cell>
          <cell r="B67" t="str">
            <v>独色独码24盒入展示盒装纸箱72件/箱（拉纸箱、写箱号、封箱底、缠上缠绕膜、贴贴纸、盖章、放侧板、天地板、盖章）网单7632件</v>
          </cell>
          <cell r="C67" t="str">
            <v>手工</v>
          </cell>
          <cell r="D67">
            <v>3.5</v>
          </cell>
          <cell r="E67">
            <v>3.9</v>
          </cell>
          <cell r="F67" t="str">
            <v>E1</v>
          </cell>
          <cell r="G67">
            <v>923</v>
          </cell>
          <cell r="H67">
            <v>0.0121</v>
          </cell>
        </row>
        <row r="68">
          <cell r="A68">
            <v>44</v>
          </cell>
          <cell r="B68" t="str">
            <v>约28个纸箱重叠缠保鲜膜 1/2016（网单7632件）</v>
          </cell>
          <cell r="C68" t="str">
            <v>手工</v>
          </cell>
          <cell r="D68">
            <v>0.4</v>
          </cell>
          <cell r="E68">
            <v>0.5</v>
          </cell>
          <cell r="F68" t="str">
            <v>E1</v>
          </cell>
          <cell r="G68">
            <v>7200</v>
          </cell>
          <cell r="H68">
            <v>0.0016</v>
          </cell>
        </row>
        <row r="70">
          <cell r="A70" t="str">
            <v>制表人：钱玲燕      审核：　　　    　 审批：　        批准：                          　　　　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74"/>
  <sheetViews>
    <sheetView tabSelected="1" zoomScale="130" zoomScaleNormal="130" topLeftCell="A54" workbookViewId="0">
      <selection activeCell="L69" sqref="L69"/>
    </sheetView>
  </sheetViews>
  <sheetFormatPr defaultColWidth="9" defaultRowHeight="12"/>
  <cols>
    <col min="1" max="1" width="11.125" style="2" customWidth="1"/>
    <col min="2" max="2" width="20" style="3" customWidth="1"/>
    <col min="3" max="3" width="6.625" style="4" hidden="1" customWidth="1"/>
    <col min="4" max="4" width="26.125" style="5" customWidth="1"/>
    <col min="5" max="5" width="10.625" style="1" customWidth="1"/>
    <col min="6" max="6" width="7.625" style="1" customWidth="1"/>
    <col min="7" max="7" width="7.125" style="6" customWidth="1"/>
    <col min="8" max="9" width="7.625" style="1" customWidth="1"/>
    <col min="10" max="71" width="9" style="1"/>
    <col min="72" max="72" width="59.625" style="1" customWidth="1"/>
    <col min="73" max="16384" width="9" style="1"/>
  </cols>
  <sheetData>
    <row r="1" ht="25.5" spans="1:9">
      <c r="A1" s="7" t="s">
        <v>0</v>
      </c>
      <c r="B1" s="8"/>
      <c r="C1" s="9"/>
      <c r="D1" s="10"/>
      <c r="E1" s="11"/>
      <c r="F1" s="11"/>
      <c r="G1" s="9"/>
      <c r="H1" s="11"/>
      <c r="I1" s="11"/>
    </row>
    <row r="2" ht="20.25" spans="1:9">
      <c r="A2" s="12" t="s">
        <v>1</v>
      </c>
      <c r="B2" s="13"/>
      <c r="C2" s="14"/>
      <c r="D2" s="15"/>
      <c r="E2" s="16"/>
      <c r="F2" s="16"/>
      <c r="G2" s="14"/>
      <c r="H2" s="16"/>
      <c r="I2" s="16"/>
    </row>
    <row r="3" spans="1:9">
      <c r="A3" s="17" t="s">
        <v>2</v>
      </c>
      <c r="B3" s="18"/>
      <c r="C3" s="19"/>
      <c r="D3" s="20"/>
      <c r="E3" s="21"/>
      <c r="F3" s="22"/>
      <c r="G3" s="23"/>
      <c r="H3" s="22"/>
      <c r="I3" s="72"/>
    </row>
    <row r="4" spans="1:9">
      <c r="A4" s="24" t="s">
        <v>3</v>
      </c>
      <c r="B4" s="25" t="s">
        <v>4</v>
      </c>
      <c r="C4" s="26"/>
      <c r="D4" s="27"/>
      <c r="E4" s="28"/>
      <c r="F4" s="29"/>
      <c r="G4" s="30"/>
      <c r="H4" s="29"/>
      <c r="I4" s="73"/>
    </row>
    <row r="5" spans="1:9">
      <c r="A5" s="24" t="s">
        <v>5</v>
      </c>
      <c r="B5" s="31" t="s">
        <v>6</v>
      </c>
      <c r="C5" s="32"/>
      <c r="D5" s="32"/>
      <c r="E5" s="28"/>
      <c r="F5" s="29"/>
      <c r="G5" s="30"/>
      <c r="H5" s="29"/>
      <c r="I5" s="73"/>
    </row>
    <row r="6" spans="1:9">
      <c r="A6" s="24" t="s">
        <v>7</v>
      </c>
      <c r="B6" s="33" t="s">
        <v>4</v>
      </c>
      <c r="C6" s="34"/>
      <c r="D6" s="34"/>
      <c r="E6" s="28"/>
      <c r="F6" s="29"/>
      <c r="G6" s="30"/>
      <c r="H6" s="29"/>
      <c r="I6" s="73"/>
    </row>
    <row r="7" customHeight="1" spans="1:72">
      <c r="A7" s="24" t="s">
        <v>8</v>
      </c>
      <c r="B7" s="35" t="s">
        <v>9</v>
      </c>
      <c r="C7" s="36"/>
      <c r="D7" s="36"/>
      <c r="E7" s="28"/>
      <c r="F7" s="29"/>
      <c r="G7" s="30"/>
      <c r="H7" s="29"/>
      <c r="I7" s="73"/>
      <c r="BT7" s="76"/>
    </row>
    <row r="8" customHeight="1" spans="1:72">
      <c r="A8" s="24" t="s">
        <v>10</v>
      </c>
      <c r="B8" s="35"/>
      <c r="C8" s="36"/>
      <c r="D8" s="36"/>
      <c r="E8" s="28"/>
      <c r="F8" s="29"/>
      <c r="G8" s="30"/>
      <c r="H8" s="29"/>
      <c r="I8" s="73"/>
      <c r="BT8" s="76"/>
    </row>
    <row r="9" spans="1:9">
      <c r="A9" s="24" t="s">
        <v>11</v>
      </c>
      <c r="B9" s="31"/>
      <c r="C9" s="32"/>
      <c r="D9" s="32"/>
      <c r="E9" s="28"/>
      <c r="F9" s="29"/>
      <c r="G9" s="30"/>
      <c r="H9" s="29"/>
      <c r="I9" s="73"/>
    </row>
    <row r="10" spans="1:9">
      <c r="A10" s="37" t="s">
        <v>12</v>
      </c>
      <c r="B10" s="31">
        <f>SUM(G37:G46)</f>
        <v>214.5</v>
      </c>
      <c r="C10" s="32"/>
      <c r="D10" s="32"/>
      <c r="E10" s="28"/>
      <c r="F10" s="29"/>
      <c r="G10" s="30"/>
      <c r="H10" s="29"/>
      <c r="I10" s="73"/>
    </row>
    <row r="11" ht="24" spans="1:9">
      <c r="A11" s="37" t="s">
        <v>13</v>
      </c>
      <c r="B11" s="38">
        <v>138.942493245851</v>
      </c>
      <c r="C11" s="39"/>
      <c r="D11" s="39"/>
      <c r="E11" s="28"/>
      <c r="F11" s="29"/>
      <c r="G11" s="30"/>
      <c r="H11" s="29"/>
      <c r="I11" s="73"/>
    </row>
    <row r="12" spans="1:9">
      <c r="A12" s="24" t="s">
        <v>14</v>
      </c>
      <c r="B12" s="31"/>
      <c r="C12" s="32"/>
      <c r="D12" s="32"/>
      <c r="E12" s="28"/>
      <c r="F12" s="29"/>
      <c r="G12" s="30"/>
      <c r="H12" s="29"/>
      <c r="I12" s="73"/>
    </row>
    <row r="13" spans="1:9">
      <c r="A13" s="24" t="s">
        <v>15</v>
      </c>
      <c r="B13" s="40"/>
      <c r="C13" s="41"/>
      <c r="D13" s="41"/>
      <c r="E13" s="28"/>
      <c r="F13" s="29"/>
      <c r="G13" s="30"/>
      <c r="H13" s="29"/>
      <c r="I13" s="73"/>
    </row>
    <row r="14" spans="1:9">
      <c r="A14" s="37" t="s">
        <v>16</v>
      </c>
      <c r="B14" s="31"/>
      <c r="C14" s="32"/>
      <c r="D14" s="32"/>
      <c r="E14" s="28"/>
      <c r="F14" s="29"/>
      <c r="G14" s="30"/>
      <c r="H14" s="29"/>
      <c r="I14" s="73"/>
    </row>
    <row r="15" spans="1:9">
      <c r="A15" s="37" t="s">
        <v>17</v>
      </c>
      <c r="B15" s="31"/>
      <c r="C15" s="32"/>
      <c r="D15" s="32"/>
      <c r="E15" s="28"/>
      <c r="F15" s="29"/>
      <c r="G15" s="30"/>
      <c r="H15" s="29"/>
      <c r="I15" s="73"/>
    </row>
    <row r="16" spans="1:9">
      <c r="A16" s="37" t="s">
        <v>18</v>
      </c>
      <c r="B16" s="31"/>
      <c r="C16" s="32"/>
      <c r="D16" s="32"/>
      <c r="E16" s="28"/>
      <c r="F16" s="29"/>
      <c r="G16" s="30"/>
      <c r="H16" s="29"/>
      <c r="I16" s="73"/>
    </row>
    <row r="17" spans="1:9">
      <c r="A17" s="37" t="s">
        <v>19</v>
      </c>
      <c r="B17" s="31"/>
      <c r="C17" s="32"/>
      <c r="D17" s="32"/>
      <c r="E17" s="28"/>
      <c r="F17" s="29"/>
      <c r="G17" s="30"/>
      <c r="H17" s="29"/>
      <c r="I17" s="73"/>
    </row>
    <row r="18" customHeight="1" spans="1:72">
      <c r="A18" s="24" t="s">
        <v>20</v>
      </c>
      <c r="B18" s="35"/>
      <c r="C18" s="36"/>
      <c r="D18" s="36"/>
      <c r="E18" s="28"/>
      <c r="F18" s="29"/>
      <c r="G18" s="30"/>
      <c r="H18" s="29"/>
      <c r="I18" s="73"/>
      <c r="BT18" s="76"/>
    </row>
    <row r="19" spans="1:9">
      <c r="A19" s="24" t="s">
        <v>21</v>
      </c>
      <c r="B19" s="31" t="s">
        <v>22</v>
      </c>
      <c r="C19" s="32"/>
      <c r="D19" s="32"/>
      <c r="E19" s="42"/>
      <c r="F19" s="43"/>
      <c r="G19" s="44"/>
      <c r="H19" s="43"/>
      <c r="I19" s="74"/>
    </row>
    <row r="20" spans="1:9">
      <c r="A20" s="45" t="s">
        <v>23</v>
      </c>
      <c r="B20" s="46" t="s">
        <v>24</v>
      </c>
      <c r="C20" s="47" t="s">
        <v>23</v>
      </c>
      <c r="D20" s="48" t="s">
        <v>24</v>
      </c>
      <c r="E20" s="49" t="s">
        <v>25</v>
      </c>
      <c r="F20" s="49" t="s">
        <v>26</v>
      </c>
      <c r="G20" s="49" t="s">
        <v>27</v>
      </c>
      <c r="H20" s="49" t="s">
        <v>28</v>
      </c>
      <c r="I20" s="49" t="s">
        <v>29</v>
      </c>
    </row>
    <row r="21" spans="1:9">
      <c r="A21" s="50"/>
      <c r="B21" s="51" t="s">
        <v>30</v>
      </c>
      <c r="C21" s="47">
        <v>1</v>
      </c>
      <c r="D21" s="52" t="s">
        <v>30</v>
      </c>
      <c r="E21" s="53"/>
      <c r="F21" s="53"/>
      <c r="G21" s="54"/>
      <c r="H21" s="53"/>
      <c r="I21" s="53"/>
    </row>
    <row r="22" spans="1:9">
      <c r="A22" s="50"/>
      <c r="B22" s="55" t="s">
        <v>31</v>
      </c>
      <c r="C22" s="56">
        <v>2</v>
      </c>
      <c r="D22" s="57" t="s">
        <v>31</v>
      </c>
      <c r="E22" s="58" t="s">
        <v>32</v>
      </c>
      <c r="F22" s="59">
        <v>3.2</v>
      </c>
      <c r="G22" s="60">
        <v>3.6</v>
      </c>
      <c r="H22" s="61" t="s">
        <v>33</v>
      </c>
      <c r="I22" s="75">
        <v>1000</v>
      </c>
    </row>
    <row r="23" spans="1:9">
      <c r="A23" s="50">
        <v>155</v>
      </c>
      <c r="B23" s="55" t="s">
        <v>34</v>
      </c>
      <c r="C23" s="56">
        <v>3</v>
      </c>
      <c r="D23" s="57" t="s">
        <v>35</v>
      </c>
      <c r="E23" s="58" t="s">
        <v>36</v>
      </c>
      <c r="F23" s="59">
        <v>6.7</v>
      </c>
      <c r="G23" s="60">
        <v>7.5</v>
      </c>
      <c r="H23" s="61" t="s">
        <v>37</v>
      </c>
      <c r="I23" s="75">
        <v>480</v>
      </c>
    </row>
    <row r="24" ht="24" spans="1:9">
      <c r="A24" s="50">
        <v>2</v>
      </c>
      <c r="B24" s="55" t="s">
        <v>38</v>
      </c>
      <c r="C24" s="56">
        <v>4</v>
      </c>
      <c r="D24" s="57" t="s">
        <v>39</v>
      </c>
      <c r="E24" s="58" t="s">
        <v>40</v>
      </c>
      <c r="F24" s="59">
        <v>2.4</v>
      </c>
      <c r="G24" s="60">
        <v>2.7</v>
      </c>
      <c r="H24" s="61" t="s">
        <v>41</v>
      </c>
      <c r="I24" s="75">
        <v>1333</v>
      </c>
    </row>
    <row r="25" spans="1:9">
      <c r="A25" s="50">
        <v>14</v>
      </c>
      <c r="B25" s="55" t="s">
        <v>42</v>
      </c>
      <c r="C25" s="56">
        <v>5</v>
      </c>
      <c r="D25" s="57" t="s">
        <v>43</v>
      </c>
      <c r="E25" s="58" t="s">
        <v>36</v>
      </c>
      <c r="F25" s="59">
        <v>4</v>
      </c>
      <c r="G25" s="60">
        <v>4.5</v>
      </c>
      <c r="H25" s="61" t="s">
        <v>37</v>
      </c>
      <c r="I25" s="75">
        <v>800</v>
      </c>
    </row>
    <row r="26" ht="24" spans="1:9">
      <c r="A26" s="50">
        <v>198</v>
      </c>
      <c r="B26" s="55" t="s">
        <v>44</v>
      </c>
      <c r="C26" s="56">
        <v>6</v>
      </c>
      <c r="D26" s="57" t="s">
        <v>45</v>
      </c>
      <c r="E26" s="58" t="s">
        <v>40</v>
      </c>
      <c r="F26" s="59">
        <v>0.9</v>
      </c>
      <c r="G26" s="60">
        <v>1.1</v>
      </c>
      <c r="H26" s="61" t="s">
        <v>41</v>
      </c>
      <c r="I26" s="75">
        <v>3273</v>
      </c>
    </row>
    <row r="27" spans="1:9">
      <c r="A27" s="50">
        <v>17</v>
      </c>
      <c r="B27" s="55" t="s">
        <v>46</v>
      </c>
      <c r="C27" s="56">
        <v>7</v>
      </c>
      <c r="D27" s="57" t="s">
        <v>47</v>
      </c>
      <c r="E27" s="58" t="s">
        <v>48</v>
      </c>
      <c r="F27" s="59">
        <v>0.3</v>
      </c>
      <c r="G27" s="60">
        <v>0.4</v>
      </c>
      <c r="H27" s="61" t="s">
        <v>49</v>
      </c>
      <c r="I27" s="75">
        <v>9000</v>
      </c>
    </row>
    <row r="28" spans="1:9">
      <c r="A28" s="50">
        <v>5</v>
      </c>
      <c r="B28" s="55" t="s">
        <v>50</v>
      </c>
      <c r="C28" s="56">
        <v>8</v>
      </c>
      <c r="D28" s="57" t="s">
        <v>51</v>
      </c>
      <c r="E28" s="58" t="s">
        <v>48</v>
      </c>
      <c r="F28" s="59">
        <v>3.5</v>
      </c>
      <c r="G28" s="60">
        <v>3.8</v>
      </c>
      <c r="H28" s="61" t="s">
        <v>49</v>
      </c>
      <c r="I28" s="75">
        <v>947</v>
      </c>
    </row>
    <row r="29" spans="1:9">
      <c r="A29" s="50">
        <v>16</v>
      </c>
      <c r="B29" s="55" t="s">
        <v>52</v>
      </c>
      <c r="C29" s="56">
        <v>9</v>
      </c>
      <c r="D29" s="57" t="s">
        <v>52</v>
      </c>
      <c r="E29" s="58" t="s">
        <v>48</v>
      </c>
      <c r="F29" s="59">
        <v>1.2</v>
      </c>
      <c r="G29" s="60">
        <v>1.3</v>
      </c>
      <c r="H29" s="61" t="s">
        <v>49</v>
      </c>
      <c r="I29" s="75">
        <v>2769</v>
      </c>
    </row>
    <row r="30" spans="1:9">
      <c r="A30" s="50">
        <v>53</v>
      </c>
      <c r="B30" s="55" t="s">
        <v>53</v>
      </c>
      <c r="C30" s="56">
        <v>10</v>
      </c>
      <c r="D30" s="57" t="s">
        <v>53</v>
      </c>
      <c r="E30" s="58" t="s">
        <v>54</v>
      </c>
      <c r="F30" s="59">
        <v>18.1</v>
      </c>
      <c r="G30" s="60">
        <v>20.3</v>
      </c>
      <c r="H30" s="61" t="s">
        <v>49</v>
      </c>
      <c r="I30" s="75">
        <v>177</v>
      </c>
    </row>
    <row r="31" spans="1:9">
      <c r="A31" s="50">
        <v>54</v>
      </c>
      <c r="B31" s="55" t="s">
        <v>55</v>
      </c>
      <c r="C31" s="56">
        <v>11</v>
      </c>
      <c r="D31" s="57" t="s">
        <v>55</v>
      </c>
      <c r="E31" s="58" t="s">
        <v>54</v>
      </c>
      <c r="F31" s="59">
        <v>18.1</v>
      </c>
      <c r="G31" s="60">
        <v>20.3</v>
      </c>
      <c r="H31" s="61" t="s">
        <v>49</v>
      </c>
      <c r="I31" s="75">
        <v>177</v>
      </c>
    </row>
    <row r="32" spans="1:9">
      <c r="A32" s="50">
        <v>170</v>
      </c>
      <c r="B32" s="55" t="s">
        <v>56</v>
      </c>
      <c r="C32" s="56">
        <v>12</v>
      </c>
      <c r="D32" s="57" t="s">
        <v>57</v>
      </c>
      <c r="E32" s="58" t="s">
        <v>48</v>
      </c>
      <c r="F32" s="59">
        <v>8.3</v>
      </c>
      <c r="G32" s="60">
        <v>9.1</v>
      </c>
      <c r="H32" s="61" t="s">
        <v>37</v>
      </c>
      <c r="I32" s="75">
        <v>396</v>
      </c>
    </row>
    <row r="33" spans="1:9">
      <c r="A33" s="50">
        <v>12</v>
      </c>
      <c r="B33" s="55" t="s">
        <v>58</v>
      </c>
      <c r="C33" s="56"/>
      <c r="D33" s="57" t="s">
        <v>58</v>
      </c>
      <c r="E33" s="58" t="s">
        <v>59</v>
      </c>
      <c r="F33" s="59">
        <v>3.6</v>
      </c>
      <c r="G33" s="60">
        <v>4</v>
      </c>
      <c r="H33" s="61" t="s">
        <v>37</v>
      </c>
      <c r="I33" s="75">
        <v>900</v>
      </c>
    </row>
    <row r="34" spans="1:9">
      <c r="A34" s="50">
        <v>11</v>
      </c>
      <c r="B34" s="55" t="s">
        <v>60</v>
      </c>
      <c r="C34" s="56"/>
      <c r="D34" s="57"/>
      <c r="E34" s="58"/>
      <c r="F34" s="59"/>
      <c r="G34" s="60"/>
      <c r="H34" s="61"/>
      <c r="I34" s="75"/>
    </row>
    <row r="35" spans="1:9">
      <c r="A35" s="50"/>
      <c r="B35" s="51" t="s">
        <v>61</v>
      </c>
      <c r="C35" s="47"/>
      <c r="D35" s="52" t="s">
        <v>61</v>
      </c>
      <c r="E35" s="53"/>
      <c r="F35" s="53"/>
      <c r="G35" s="54"/>
      <c r="H35" s="53"/>
      <c r="I35" s="53"/>
    </row>
    <row r="36" spans="1:9">
      <c r="A36" s="50">
        <v>27</v>
      </c>
      <c r="B36" s="55" t="s">
        <v>62</v>
      </c>
      <c r="C36" s="56">
        <v>13</v>
      </c>
      <c r="D36" s="57" t="s">
        <v>63</v>
      </c>
      <c r="E36" s="58" t="s">
        <v>48</v>
      </c>
      <c r="F36" s="59">
        <v>18.7</v>
      </c>
      <c r="G36" s="60">
        <v>20.7</v>
      </c>
      <c r="H36" s="61" t="s">
        <v>37</v>
      </c>
      <c r="I36" s="75">
        <v>174</v>
      </c>
    </row>
    <row r="37" spans="1:9">
      <c r="A37" s="50">
        <v>20</v>
      </c>
      <c r="B37" s="55" t="s">
        <v>64</v>
      </c>
      <c r="C37" s="56">
        <v>14</v>
      </c>
      <c r="D37" s="57" t="s">
        <v>65</v>
      </c>
      <c r="E37" s="58" t="s">
        <v>66</v>
      </c>
      <c r="F37" s="59">
        <v>10.3</v>
      </c>
      <c r="G37" s="60">
        <v>11.5</v>
      </c>
      <c r="H37" s="61" t="s">
        <v>41</v>
      </c>
      <c r="I37" s="75">
        <v>313</v>
      </c>
    </row>
    <row r="38" ht="24" spans="1:9">
      <c r="A38" s="50">
        <v>21</v>
      </c>
      <c r="B38" s="55" t="s">
        <v>67</v>
      </c>
      <c r="C38" s="56">
        <v>15</v>
      </c>
      <c r="D38" s="57" t="s">
        <v>68</v>
      </c>
      <c r="E38" s="58" t="s">
        <v>69</v>
      </c>
      <c r="F38" s="59">
        <v>12</v>
      </c>
      <c r="G38" s="60">
        <v>13.4</v>
      </c>
      <c r="H38" s="61" t="s">
        <v>70</v>
      </c>
      <c r="I38" s="75">
        <v>269</v>
      </c>
    </row>
    <row r="39" ht="24" spans="1:9">
      <c r="A39" s="50">
        <v>23</v>
      </c>
      <c r="B39" s="55" t="s">
        <v>71</v>
      </c>
      <c r="C39" s="56">
        <v>16</v>
      </c>
      <c r="D39" s="57" t="s">
        <v>72</v>
      </c>
      <c r="E39" s="58" t="s">
        <v>73</v>
      </c>
      <c r="F39" s="59">
        <v>19.4</v>
      </c>
      <c r="G39" s="60">
        <v>21.8</v>
      </c>
      <c r="H39" s="61" t="s">
        <v>74</v>
      </c>
      <c r="I39" s="75">
        <v>165</v>
      </c>
    </row>
    <row r="40" spans="1:9">
      <c r="A40" s="50">
        <v>24</v>
      </c>
      <c r="B40" s="55" t="s">
        <v>75</v>
      </c>
      <c r="C40" s="56">
        <v>17</v>
      </c>
      <c r="D40" s="57" t="s">
        <v>76</v>
      </c>
      <c r="E40" s="58" t="s">
        <v>66</v>
      </c>
      <c r="F40" s="59">
        <v>8.6</v>
      </c>
      <c r="G40" s="60">
        <v>9.5</v>
      </c>
      <c r="H40" s="61" t="s">
        <v>77</v>
      </c>
      <c r="I40" s="75">
        <v>379</v>
      </c>
    </row>
    <row r="41" ht="24" spans="1:9">
      <c r="A41" s="50">
        <v>22</v>
      </c>
      <c r="B41" s="55" t="s">
        <v>78</v>
      </c>
      <c r="C41" s="56">
        <v>18</v>
      </c>
      <c r="D41" s="57" t="s">
        <v>79</v>
      </c>
      <c r="E41" s="58" t="s">
        <v>69</v>
      </c>
      <c r="F41" s="59">
        <v>9.4</v>
      </c>
      <c r="G41" s="60">
        <v>10.4</v>
      </c>
      <c r="H41" s="61" t="s">
        <v>74</v>
      </c>
      <c r="I41" s="75">
        <v>346</v>
      </c>
    </row>
    <row r="42" ht="24" spans="1:9">
      <c r="A42" s="50">
        <v>25</v>
      </c>
      <c r="B42" s="62" t="s">
        <v>80</v>
      </c>
      <c r="C42" s="56">
        <v>19</v>
      </c>
      <c r="D42" s="57" t="s">
        <v>81</v>
      </c>
      <c r="E42" s="58" t="s">
        <v>66</v>
      </c>
      <c r="F42" s="59">
        <v>10.8</v>
      </c>
      <c r="G42" s="60">
        <v>12</v>
      </c>
      <c r="H42" s="61" t="s">
        <v>77</v>
      </c>
      <c r="I42" s="75">
        <v>300</v>
      </c>
    </row>
    <row r="43" ht="24" spans="1:9">
      <c r="A43" s="50">
        <v>26</v>
      </c>
      <c r="B43" s="55" t="s">
        <v>82</v>
      </c>
      <c r="C43" s="56">
        <v>20</v>
      </c>
      <c r="D43" s="57" t="s">
        <v>83</v>
      </c>
      <c r="E43" s="58" t="s">
        <v>69</v>
      </c>
      <c r="F43" s="59">
        <v>32.3</v>
      </c>
      <c r="G43" s="60">
        <v>36</v>
      </c>
      <c r="H43" s="61" t="s">
        <v>77</v>
      </c>
      <c r="I43" s="75">
        <v>100</v>
      </c>
    </row>
    <row r="44" ht="24" spans="1:9">
      <c r="A44" s="50">
        <v>28</v>
      </c>
      <c r="B44" s="55" t="s">
        <v>84</v>
      </c>
      <c r="C44" s="56">
        <v>21</v>
      </c>
      <c r="D44" s="57" t="s">
        <v>85</v>
      </c>
      <c r="E44" s="58" t="s">
        <v>69</v>
      </c>
      <c r="F44" s="59">
        <v>39.6</v>
      </c>
      <c r="G44" s="60">
        <v>44.4</v>
      </c>
      <c r="H44" s="61" t="s">
        <v>77</v>
      </c>
      <c r="I44" s="75">
        <v>81</v>
      </c>
    </row>
    <row r="45" ht="24" spans="1:9">
      <c r="A45" s="50">
        <v>29</v>
      </c>
      <c r="B45" s="55" t="s">
        <v>86</v>
      </c>
      <c r="C45" s="56">
        <v>22</v>
      </c>
      <c r="D45" s="57" t="s">
        <v>87</v>
      </c>
      <c r="E45" s="58" t="s">
        <v>73</v>
      </c>
      <c r="F45" s="59">
        <v>24.9</v>
      </c>
      <c r="G45" s="60">
        <v>28</v>
      </c>
      <c r="H45" s="61" t="s">
        <v>88</v>
      </c>
      <c r="I45" s="75">
        <v>129</v>
      </c>
    </row>
    <row r="46" ht="24" spans="1:9">
      <c r="A46" s="50">
        <v>30</v>
      </c>
      <c r="B46" s="55" t="s">
        <v>89</v>
      </c>
      <c r="C46" s="56">
        <v>23</v>
      </c>
      <c r="D46" s="57" t="s">
        <v>90</v>
      </c>
      <c r="E46" s="58" t="s">
        <v>73</v>
      </c>
      <c r="F46" s="59">
        <v>24.2</v>
      </c>
      <c r="G46" s="60">
        <v>27.5</v>
      </c>
      <c r="H46" s="61" t="s">
        <v>88</v>
      </c>
      <c r="I46" s="75">
        <v>131</v>
      </c>
    </row>
    <row r="47" spans="1:9">
      <c r="A47" s="50">
        <v>120</v>
      </c>
      <c r="B47" s="55" t="s">
        <v>91</v>
      </c>
      <c r="C47" s="56">
        <v>24</v>
      </c>
      <c r="D47" s="57" t="s">
        <v>92</v>
      </c>
      <c r="E47" s="58" t="s">
        <v>93</v>
      </c>
      <c r="F47" s="59">
        <v>21.6</v>
      </c>
      <c r="G47" s="60">
        <v>23.9</v>
      </c>
      <c r="H47" s="61" t="s">
        <v>94</v>
      </c>
      <c r="I47" s="75">
        <v>151</v>
      </c>
    </row>
    <row r="48" spans="1:9">
      <c r="A48" s="50"/>
      <c r="B48" s="51" t="s">
        <v>95</v>
      </c>
      <c r="C48" s="63"/>
      <c r="D48" s="53" t="s">
        <v>95</v>
      </c>
      <c r="E48" s="53"/>
      <c r="F48" s="53"/>
      <c r="G48" s="54"/>
      <c r="H48" s="53"/>
      <c r="I48" s="53"/>
    </row>
    <row r="49" spans="1:9">
      <c r="A49" s="50">
        <v>103</v>
      </c>
      <c r="B49" s="55" t="s">
        <v>96</v>
      </c>
      <c r="C49" s="64">
        <v>25</v>
      </c>
      <c r="D49" s="58" t="s">
        <v>96</v>
      </c>
      <c r="E49" s="58" t="s">
        <v>97</v>
      </c>
      <c r="F49" s="59">
        <v>37.3</v>
      </c>
      <c r="G49" s="60">
        <v>41.9</v>
      </c>
      <c r="H49" s="61" t="s">
        <v>88</v>
      </c>
      <c r="I49" s="75">
        <v>86</v>
      </c>
    </row>
    <row r="50" spans="1:9">
      <c r="A50" s="50">
        <v>105</v>
      </c>
      <c r="B50" s="55" t="s">
        <v>98</v>
      </c>
      <c r="C50" s="64">
        <v>26</v>
      </c>
      <c r="D50" s="58" t="s">
        <v>99</v>
      </c>
      <c r="E50" s="58" t="s">
        <v>48</v>
      </c>
      <c r="F50" s="59">
        <v>34.2</v>
      </c>
      <c r="G50" s="60">
        <v>37.8</v>
      </c>
      <c r="H50" s="61" t="s">
        <v>94</v>
      </c>
      <c r="I50" s="75">
        <v>95</v>
      </c>
    </row>
    <row r="51" spans="1:9">
      <c r="A51" s="50">
        <v>126</v>
      </c>
      <c r="B51" s="55" t="s">
        <v>100</v>
      </c>
      <c r="C51" s="64"/>
      <c r="D51" s="58"/>
      <c r="E51" s="58"/>
      <c r="F51" s="59"/>
      <c r="G51" s="60"/>
      <c r="H51" s="61"/>
      <c r="I51" s="75"/>
    </row>
    <row r="52" spans="1:9">
      <c r="A52" s="50">
        <v>43</v>
      </c>
      <c r="B52" s="65" t="s">
        <v>101</v>
      </c>
      <c r="C52" s="64">
        <v>27</v>
      </c>
      <c r="D52" s="58" t="s">
        <v>101</v>
      </c>
      <c r="E52" s="58" t="s">
        <v>48</v>
      </c>
      <c r="F52" s="59">
        <v>5.7</v>
      </c>
      <c r="G52" s="60">
        <v>6.3</v>
      </c>
      <c r="H52" s="61" t="s">
        <v>33</v>
      </c>
      <c r="I52" s="75">
        <v>571</v>
      </c>
    </row>
    <row r="53" spans="1:9">
      <c r="A53" s="50">
        <v>31</v>
      </c>
      <c r="B53" s="66" t="s">
        <v>102</v>
      </c>
      <c r="C53" s="64">
        <v>28</v>
      </c>
      <c r="D53" s="58" t="s">
        <v>102</v>
      </c>
      <c r="E53" s="58" t="s">
        <v>48</v>
      </c>
      <c r="F53" s="59">
        <v>2.9</v>
      </c>
      <c r="G53" s="60">
        <v>3.2</v>
      </c>
      <c r="H53" s="61" t="s">
        <v>33</v>
      </c>
      <c r="I53" s="75">
        <v>1125</v>
      </c>
    </row>
    <row r="54" spans="1:9">
      <c r="A54" s="50">
        <v>140</v>
      </c>
      <c r="B54" s="51" t="s">
        <v>103</v>
      </c>
      <c r="C54" s="64">
        <v>37</v>
      </c>
      <c r="D54" s="58" t="s">
        <v>103</v>
      </c>
      <c r="E54" s="58" t="s">
        <v>48</v>
      </c>
      <c r="F54" s="59">
        <v>3</v>
      </c>
      <c r="G54" s="60">
        <v>3.3</v>
      </c>
      <c r="H54" s="61" t="s">
        <v>33</v>
      </c>
      <c r="I54" s="75">
        <v>1091</v>
      </c>
    </row>
    <row r="55" spans="1:9">
      <c r="A55" s="67">
        <v>172</v>
      </c>
      <c r="B55" s="68" t="s">
        <v>104</v>
      </c>
      <c r="C55" s="64">
        <v>29</v>
      </c>
      <c r="D55" s="58" t="s">
        <v>105</v>
      </c>
      <c r="E55" s="58" t="s">
        <v>48</v>
      </c>
      <c r="F55" s="59">
        <v>3.7</v>
      </c>
      <c r="G55" s="60">
        <v>4.1</v>
      </c>
      <c r="H55" s="61" t="s">
        <v>33</v>
      </c>
      <c r="I55" s="75">
        <v>878</v>
      </c>
    </row>
    <row r="56" spans="1:9">
      <c r="A56" s="69"/>
      <c r="B56" s="70"/>
      <c r="C56" s="64">
        <v>48</v>
      </c>
      <c r="D56" s="58" t="s">
        <v>106</v>
      </c>
      <c r="E56" s="58" t="s">
        <v>48</v>
      </c>
      <c r="F56" s="59">
        <v>2.9</v>
      </c>
      <c r="G56" s="60">
        <v>3.2</v>
      </c>
      <c r="H56" s="61" t="s">
        <v>33</v>
      </c>
      <c r="I56" s="75">
        <v>1125</v>
      </c>
    </row>
    <row r="57" spans="1:9">
      <c r="A57" s="50">
        <v>32</v>
      </c>
      <c r="B57" s="51" t="s">
        <v>107</v>
      </c>
      <c r="C57" s="64">
        <v>30</v>
      </c>
      <c r="D57" s="58" t="s">
        <v>108</v>
      </c>
      <c r="E57" s="58" t="s">
        <v>48</v>
      </c>
      <c r="F57" s="59">
        <v>2.4</v>
      </c>
      <c r="G57" s="60">
        <v>2.7</v>
      </c>
      <c r="H57" s="61" t="s">
        <v>33</v>
      </c>
      <c r="I57" s="75">
        <v>1333</v>
      </c>
    </row>
    <row r="58" ht="24" spans="1:9">
      <c r="A58" s="50">
        <v>33</v>
      </c>
      <c r="B58" s="71" t="s">
        <v>109</v>
      </c>
      <c r="C58" s="64">
        <v>46</v>
      </c>
      <c r="D58" s="58" t="s">
        <v>110</v>
      </c>
      <c r="E58" s="58" t="s">
        <v>48</v>
      </c>
      <c r="F58" s="59">
        <v>4.3</v>
      </c>
      <c r="G58" s="60">
        <v>4.8</v>
      </c>
      <c r="H58" s="61" t="s">
        <v>33</v>
      </c>
      <c r="I58" s="75">
        <v>750</v>
      </c>
    </row>
    <row r="59" ht="24" spans="1:9">
      <c r="A59" s="50">
        <v>34</v>
      </c>
      <c r="B59" s="71" t="s">
        <v>111</v>
      </c>
      <c r="C59" s="64">
        <v>47</v>
      </c>
      <c r="D59" s="58" t="s">
        <v>112</v>
      </c>
      <c r="E59" s="58" t="s">
        <v>48</v>
      </c>
      <c r="F59" s="59">
        <v>6.3</v>
      </c>
      <c r="G59" s="60">
        <v>7</v>
      </c>
      <c r="H59" s="61" t="s">
        <v>113</v>
      </c>
      <c r="I59" s="75">
        <v>514</v>
      </c>
    </row>
    <row r="60" ht="24" spans="1:9">
      <c r="A60" s="50">
        <v>35</v>
      </c>
      <c r="B60" s="71" t="s">
        <v>114</v>
      </c>
      <c r="C60" s="64">
        <v>31</v>
      </c>
      <c r="D60" s="58" t="s">
        <v>115</v>
      </c>
      <c r="E60" s="58" t="s">
        <v>48</v>
      </c>
      <c r="F60" s="59">
        <v>4</v>
      </c>
      <c r="G60" s="60">
        <v>4.5</v>
      </c>
      <c r="H60" s="61" t="s">
        <v>33</v>
      </c>
      <c r="I60" s="75">
        <v>800</v>
      </c>
    </row>
    <row r="61" spans="1:9">
      <c r="A61" s="50">
        <v>154</v>
      </c>
      <c r="B61" s="55" t="s">
        <v>116</v>
      </c>
      <c r="C61" s="64">
        <v>32</v>
      </c>
      <c r="D61" s="58" t="s">
        <v>117</v>
      </c>
      <c r="E61" s="58" t="s">
        <v>48</v>
      </c>
      <c r="F61" s="59">
        <v>21.9</v>
      </c>
      <c r="G61" s="60">
        <v>24.2</v>
      </c>
      <c r="H61" s="61" t="s">
        <v>33</v>
      </c>
      <c r="I61" s="75">
        <v>149</v>
      </c>
    </row>
    <row r="62" ht="24" spans="1:9">
      <c r="A62" s="50">
        <v>36</v>
      </c>
      <c r="B62" s="71" t="s">
        <v>118</v>
      </c>
      <c r="C62" s="64">
        <v>33</v>
      </c>
      <c r="D62" s="58" t="s">
        <v>119</v>
      </c>
      <c r="E62" s="58" t="s">
        <v>48</v>
      </c>
      <c r="F62" s="59">
        <v>6.1</v>
      </c>
      <c r="G62" s="60">
        <v>6.8</v>
      </c>
      <c r="H62" s="61" t="s">
        <v>33</v>
      </c>
      <c r="I62" s="75">
        <v>529</v>
      </c>
    </row>
    <row r="63" spans="1:9">
      <c r="A63" s="50">
        <v>37</v>
      </c>
      <c r="B63" s="51" t="s">
        <v>120</v>
      </c>
      <c r="C63" s="64">
        <v>34</v>
      </c>
      <c r="D63" s="58" t="s">
        <v>121</v>
      </c>
      <c r="E63" s="58" t="s">
        <v>48</v>
      </c>
      <c r="F63" s="59">
        <v>2.3</v>
      </c>
      <c r="G63" s="60">
        <v>2.6</v>
      </c>
      <c r="H63" s="61" t="s">
        <v>33</v>
      </c>
      <c r="I63" s="75">
        <v>1385</v>
      </c>
    </row>
    <row r="64" ht="24" spans="1:9">
      <c r="A64" s="50">
        <v>38</v>
      </c>
      <c r="B64" s="71" t="s">
        <v>122</v>
      </c>
      <c r="C64" s="64">
        <v>35</v>
      </c>
      <c r="D64" s="58" t="s">
        <v>123</v>
      </c>
      <c r="E64" s="58" t="s">
        <v>48</v>
      </c>
      <c r="F64" s="59">
        <v>5.4</v>
      </c>
      <c r="G64" s="60">
        <v>6</v>
      </c>
      <c r="H64" s="61" t="s">
        <v>33</v>
      </c>
      <c r="I64" s="75">
        <v>600</v>
      </c>
    </row>
    <row r="65" spans="1:9">
      <c r="A65" s="50">
        <v>102</v>
      </c>
      <c r="B65" s="55" t="s">
        <v>124</v>
      </c>
      <c r="C65" s="64">
        <v>38</v>
      </c>
      <c r="D65" s="58" t="s">
        <v>125</v>
      </c>
      <c r="E65" s="58" t="s">
        <v>48</v>
      </c>
      <c r="F65" s="59">
        <v>1.4</v>
      </c>
      <c r="G65" s="60">
        <v>1.6</v>
      </c>
      <c r="H65" s="61" t="s">
        <v>33</v>
      </c>
      <c r="I65" s="75">
        <v>2250</v>
      </c>
    </row>
    <row r="66" ht="24" spans="1:9">
      <c r="A66" s="77">
        <v>39</v>
      </c>
      <c r="B66" s="78" t="s">
        <v>126</v>
      </c>
      <c r="C66" s="64">
        <v>39</v>
      </c>
      <c r="D66" s="79" t="s">
        <v>127</v>
      </c>
      <c r="E66" s="79" t="s">
        <v>48</v>
      </c>
      <c r="F66" s="80">
        <v>1.3</v>
      </c>
      <c r="G66" s="80">
        <v>1.5</v>
      </c>
      <c r="H66" s="64" t="s">
        <v>33</v>
      </c>
      <c r="I66" s="84">
        <v>2400</v>
      </c>
    </row>
    <row r="67" spans="1:9">
      <c r="A67" s="50">
        <v>152</v>
      </c>
      <c r="B67" s="51" t="s">
        <v>128</v>
      </c>
      <c r="C67" s="64">
        <v>40</v>
      </c>
      <c r="D67" s="58" t="s">
        <v>129</v>
      </c>
      <c r="E67" s="58" t="s">
        <v>48</v>
      </c>
      <c r="F67" s="59">
        <v>1.4</v>
      </c>
      <c r="G67" s="60">
        <v>1.6</v>
      </c>
      <c r="H67" s="61" t="s">
        <v>33</v>
      </c>
      <c r="I67" s="75">
        <v>2250</v>
      </c>
    </row>
    <row r="68" ht="23" customHeight="1" spans="1:9">
      <c r="A68" s="50">
        <v>44</v>
      </c>
      <c r="B68" s="51" t="s">
        <v>130</v>
      </c>
      <c r="C68" s="64">
        <v>50</v>
      </c>
      <c r="D68" s="58" t="s">
        <v>130</v>
      </c>
      <c r="E68" s="58" t="s">
        <v>48</v>
      </c>
      <c r="F68" s="59">
        <v>0.9</v>
      </c>
      <c r="G68" s="60">
        <v>1</v>
      </c>
      <c r="H68" s="61" t="s">
        <v>33</v>
      </c>
      <c r="I68" s="75">
        <v>3600</v>
      </c>
    </row>
    <row r="69" ht="61" customHeight="1" spans="1:9">
      <c r="A69" s="50">
        <v>40</v>
      </c>
      <c r="B69" s="71" t="s">
        <v>131</v>
      </c>
      <c r="C69" s="64">
        <v>41</v>
      </c>
      <c r="D69" s="85" t="s">
        <v>132</v>
      </c>
      <c r="E69" s="58" t="s">
        <v>48</v>
      </c>
      <c r="F69" s="59">
        <v>3.5</v>
      </c>
      <c r="G69" s="60">
        <v>3.9</v>
      </c>
      <c r="H69" s="61" t="s">
        <v>33</v>
      </c>
      <c r="I69" s="75">
        <v>923</v>
      </c>
    </row>
    <row r="70" ht="24" spans="1:9">
      <c r="A70" s="50">
        <v>41</v>
      </c>
      <c r="B70" s="51" t="s">
        <v>133</v>
      </c>
      <c r="C70" s="64">
        <v>42</v>
      </c>
      <c r="D70" s="58" t="s">
        <v>134</v>
      </c>
      <c r="E70" s="58" t="s">
        <v>48</v>
      </c>
      <c r="F70" s="59">
        <v>0.3</v>
      </c>
      <c r="G70" s="60">
        <v>0.3</v>
      </c>
      <c r="H70" s="61" t="s">
        <v>33</v>
      </c>
      <c r="I70" s="75">
        <v>12000</v>
      </c>
    </row>
    <row r="71" ht="48" spans="1:9">
      <c r="A71" s="50">
        <v>165</v>
      </c>
      <c r="B71" s="51" t="s">
        <v>135</v>
      </c>
      <c r="C71" s="64">
        <v>43</v>
      </c>
      <c r="D71" s="58" t="s">
        <v>136</v>
      </c>
      <c r="E71" s="58" t="s">
        <v>48</v>
      </c>
      <c r="F71" s="59">
        <v>3.5</v>
      </c>
      <c r="G71" s="60">
        <v>3.9</v>
      </c>
      <c r="H71" s="61" t="s">
        <v>33</v>
      </c>
      <c r="I71" s="75">
        <v>923</v>
      </c>
    </row>
    <row r="72" ht="24" spans="1:9">
      <c r="A72" s="50">
        <v>42</v>
      </c>
      <c r="B72" s="71" t="s">
        <v>137</v>
      </c>
      <c r="C72" s="64">
        <v>44</v>
      </c>
      <c r="D72" s="58" t="s">
        <v>138</v>
      </c>
      <c r="E72" s="58" t="s">
        <v>48</v>
      </c>
      <c r="F72" s="59">
        <v>0.4</v>
      </c>
      <c r="G72" s="60">
        <v>0.5</v>
      </c>
      <c r="H72" s="61" t="s">
        <v>33</v>
      </c>
      <c r="I72" s="75">
        <v>7200</v>
      </c>
    </row>
    <row r="74" s="1" customFormat="1" spans="1:7">
      <c r="A74" s="83" t="s">
        <v>139</v>
      </c>
      <c r="B74" s="83"/>
      <c r="G74" s="6"/>
    </row>
  </sheetData>
  <autoFilter xmlns:etc="http://www.wps.cn/officeDocument/2017/etCustomData" ref="A20:BT74" etc:filterBottomFollowUsedRange="0">
    <extLst/>
  </autoFilter>
  <mergeCells count="22">
    <mergeCell ref="A1:I1"/>
    <mergeCell ref="A2:I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74:G74"/>
    <mergeCell ref="A55:A56"/>
    <mergeCell ref="B55:B56"/>
    <mergeCell ref="E3:I19"/>
  </mergeCells>
  <conditionalFormatting sqref="A72:B72">
    <cfRule type="duplicateValues" dxfId="0" priority="1"/>
  </conditionalFormatting>
  <conditionalFormatting sqref="A21:B51 A53:B55 A57:B71 A52">
    <cfRule type="duplicateValues" dxfId="0" priority="4"/>
  </conditionalFormatting>
  <printOptions horizontalCentered="1"/>
  <pageMargins left="0.0388888888888889" right="0.0388888888888889" top="0.0388888888888889" bottom="0.0388888888888889" header="0.196527777777778" footer="0.196527777777778"/>
  <pageSetup paperSize="9" orientation="portrait" horizontalDpi="600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73"/>
  <sheetViews>
    <sheetView zoomScale="130" zoomScaleNormal="130" topLeftCell="A59" workbookViewId="0">
      <selection activeCell="B65" sqref="B65"/>
    </sheetView>
  </sheetViews>
  <sheetFormatPr defaultColWidth="9" defaultRowHeight="12"/>
  <cols>
    <col min="1" max="1" width="11.125" style="2" customWidth="1"/>
    <col min="2" max="2" width="20" style="3" customWidth="1"/>
    <col min="3" max="3" width="6.625" style="4" customWidth="1"/>
    <col min="4" max="4" width="26.125" style="5" customWidth="1"/>
    <col min="5" max="5" width="10.625" style="1" customWidth="1"/>
    <col min="6" max="6" width="7.625" style="1" customWidth="1"/>
    <col min="7" max="7" width="7.125" style="6" customWidth="1"/>
    <col min="8" max="9" width="7.625" style="1" customWidth="1"/>
    <col min="10" max="10" width="9" style="1" hidden="1" customWidth="1"/>
    <col min="11" max="71" width="9" style="1"/>
    <col min="72" max="72" width="59.625" style="1" customWidth="1"/>
    <col min="73" max="16384" width="9" style="1"/>
  </cols>
  <sheetData>
    <row r="1" ht="25.5" spans="1:9">
      <c r="A1" s="7" t="s">
        <v>0</v>
      </c>
      <c r="B1" s="8"/>
      <c r="C1" s="9"/>
      <c r="D1" s="10"/>
      <c r="E1" s="11"/>
      <c r="F1" s="11"/>
      <c r="G1" s="9"/>
      <c r="H1" s="11"/>
      <c r="I1" s="11"/>
    </row>
    <row r="2" ht="20.25" spans="1:9">
      <c r="A2" s="12" t="s">
        <v>1</v>
      </c>
      <c r="B2" s="13"/>
      <c r="C2" s="14"/>
      <c r="D2" s="15"/>
      <c r="E2" s="16"/>
      <c r="F2" s="16"/>
      <c r="G2" s="14"/>
      <c r="H2" s="16"/>
      <c r="I2" s="16"/>
    </row>
    <row r="3" spans="1:9">
      <c r="A3" s="17" t="s">
        <v>2</v>
      </c>
      <c r="B3" s="18"/>
      <c r="C3" s="19"/>
      <c r="D3" s="20"/>
      <c r="E3" s="21"/>
      <c r="F3" s="22"/>
      <c r="G3" s="23"/>
      <c r="H3" s="22"/>
      <c r="I3" s="72"/>
    </row>
    <row r="4" spans="1:9">
      <c r="A4" s="24" t="s">
        <v>3</v>
      </c>
      <c r="B4" s="25" t="s">
        <v>4</v>
      </c>
      <c r="C4" s="26"/>
      <c r="D4" s="27"/>
      <c r="E4" s="28"/>
      <c r="F4" s="29"/>
      <c r="G4" s="30"/>
      <c r="H4" s="29"/>
      <c r="I4" s="73"/>
    </row>
    <row r="5" spans="1:9">
      <c r="A5" s="24" t="s">
        <v>5</v>
      </c>
      <c r="B5" s="31" t="s">
        <v>6</v>
      </c>
      <c r="C5" s="32"/>
      <c r="D5" s="32"/>
      <c r="E5" s="28"/>
      <c r="F5" s="29"/>
      <c r="G5" s="30"/>
      <c r="H5" s="29"/>
      <c r="I5" s="73"/>
    </row>
    <row r="6" spans="1:9">
      <c r="A6" s="24" t="s">
        <v>7</v>
      </c>
      <c r="B6" s="33" t="s">
        <v>4</v>
      </c>
      <c r="C6" s="34"/>
      <c r="D6" s="34"/>
      <c r="E6" s="28"/>
      <c r="F6" s="29"/>
      <c r="G6" s="30"/>
      <c r="H6" s="29"/>
      <c r="I6" s="73"/>
    </row>
    <row r="7" customHeight="1" spans="1:72">
      <c r="A7" s="24" t="s">
        <v>8</v>
      </c>
      <c r="B7" s="35" t="s">
        <v>9</v>
      </c>
      <c r="C7" s="36"/>
      <c r="D7" s="36"/>
      <c r="E7" s="28"/>
      <c r="F7" s="29"/>
      <c r="G7" s="30"/>
      <c r="H7" s="29"/>
      <c r="I7" s="73"/>
      <c r="BT7" s="76"/>
    </row>
    <row r="8" customHeight="1" spans="1:72">
      <c r="A8" s="24" t="s">
        <v>10</v>
      </c>
      <c r="B8" s="35"/>
      <c r="C8" s="36"/>
      <c r="D8" s="36"/>
      <c r="E8" s="28"/>
      <c r="F8" s="29"/>
      <c r="G8" s="30"/>
      <c r="H8" s="29"/>
      <c r="I8" s="73"/>
      <c r="BT8" s="76"/>
    </row>
    <row r="9" spans="1:9">
      <c r="A9" s="24" t="s">
        <v>11</v>
      </c>
      <c r="B9" s="31"/>
      <c r="C9" s="32"/>
      <c r="D9" s="32"/>
      <c r="E9" s="28"/>
      <c r="F9" s="29"/>
      <c r="G9" s="30"/>
      <c r="H9" s="29"/>
      <c r="I9" s="73"/>
    </row>
    <row r="10" spans="1:9">
      <c r="A10" s="37" t="s">
        <v>12</v>
      </c>
      <c r="B10" s="31">
        <f>SUM(G37:G46)</f>
        <v>214.5</v>
      </c>
      <c r="C10" s="32"/>
      <c r="D10" s="32"/>
      <c r="E10" s="28"/>
      <c r="F10" s="29"/>
      <c r="G10" s="30"/>
      <c r="H10" s="29"/>
      <c r="I10" s="73"/>
    </row>
    <row r="11" ht="24" spans="1:9">
      <c r="A11" s="37" t="s">
        <v>13</v>
      </c>
      <c r="B11" s="38">
        <v>138.942493245851</v>
      </c>
      <c r="C11" s="39"/>
      <c r="D11" s="39"/>
      <c r="E11" s="28"/>
      <c r="F11" s="29"/>
      <c r="G11" s="30"/>
      <c r="H11" s="29"/>
      <c r="I11" s="73"/>
    </row>
    <row r="12" spans="1:9">
      <c r="A12" s="24" t="s">
        <v>14</v>
      </c>
      <c r="B12" s="31"/>
      <c r="C12" s="32"/>
      <c r="D12" s="32"/>
      <c r="E12" s="28"/>
      <c r="F12" s="29"/>
      <c r="G12" s="30"/>
      <c r="H12" s="29"/>
      <c r="I12" s="73"/>
    </row>
    <row r="13" spans="1:9">
      <c r="A13" s="24" t="s">
        <v>15</v>
      </c>
      <c r="B13" s="40"/>
      <c r="C13" s="41"/>
      <c r="D13" s="41"/>
      <c r="E13" s="28"/>
      <c r="F13" s="29"/>
      <c r="G13" s="30"/>
      <c r="H13" s="29"/>
      <c r="I13" s="73"/>
    </row>
    <row r="14" spans="1:9">
      <c r="A14" s="37" t="s">
        <v>16</v>
      </c>
      <c r="B14" s="31"/>
      <c r="C14" s="32"/>
      <c r="D14" s="32"/>
      <c r="E14" s="28"/>
      <c r="F14" s="29"/>
      <c r="G14" s="30"/>
      <c r="H14" s="29"/>
      <c r="I14" s="73"/>
    </row>
    <row r="15" spans="1:9">
      <c r="A15" s="37" t="s">
        <v>17</v>
      </c>
      <c r="B15" s="31"/>
      <c r="C15" s="32"/>
      <c r="D15" s="32"/>
      <c r="E15" s="28"/>
      <c r="F15" s="29"/>
      <c r="G15" s="30"/>
      <c r="H15" s="29"/>
      <c r="I15" s="73"/>
    </row>
    <row r="16" spans="1:9">
      <c r="A16" s="37" t="s">
        <v>18</v>
      </c>
      <c r="B16" s="31"/>
      <c r="C16" s="32"/>
      <c r="D16" s="32"/>
      <c r="E16" s="28"/>
      <c r="F16" s="29"/>
      <c r="G16" s="30"/>
      <c r="H16" s="29"/>
      <c r="I16" s="73"/>
    </row>
    <row r="17" spans="1:9">
      <c r="A17" s="37" t="s">
        <v>19</v>
      </c>
      <c r="B17" s="31"/>
      <c r="C17" s="32"/>
      <c r="D17" s="32"/>
      <c r="E17" s="28"/>
      <c r="F17" s="29"/>
      <c r="G17" s="30"/>
      <c r="H17" s="29"/>
      <c r="I17" s="73"/>
    </row>
    <row r="18" customHeight="1" spans="1:72">
      <c r="A18" s="24" t="s">
        <v>20</v>
      </c>
      <c r="B18" s="35"/>
      <c r="C18" s="36"/>
      <c r="D18" s="36"/>
      <c r="E18" s="28"/>
      <c r="F18" s="29"/>
      <c r="G18" s="30"/>
      <c r="H18" s="29"/>
      <c r="I18" s="73"/>
      <c r="BT18" s="76"/>
    </row>
    <row r="19" spans="1:9">
      <c r="A19" s="24" t="s">
        <v>21</v>
      </c>
      <c r="B19" s="31" t="s">
        <v>22</v>
      </c>
      <c r="C19" s="32"/>
      <c r="D19" s="32"/>
      <c r="E19" s="42"/>
      <c r="F19" s="43"/>
      <c r="G19" s="44"/>
      <c r="H19" s="43"/>
      <c r="I19" s="74"/>
    </row>
    <row r="20" spans="1:9">
      <c r="A20" s="45" t="s">
        <v>23</v>
      </c>
      <c r="B20" s="46" t="s">
        <v>24</v>
      </c>
      <c r="C20" s="47" t="s">
        <v>23</v>
      </c>
      <c r="D20" s="48" t="s">
        <v>24</v>
      </c>
      <c r="E20" s="49" t="s">
        <v>25</v>
      </c>
      <c r="F20" s="49" t="s">
        <v>26</v>
      </c>
      <c r="G20" s="49" t="s">
        <v>27</v>
      </c>
      <c r="H20" s="49" t="s">
        <v>28</v>
      </c>
      <c r="I20" s="49" t="s">
        <v>29</v>
      </c>
    </row>
    <row r="21" spans="1:9">
      <c r="A21" s="50"/>
      <c r="B21" s="51" t="s">
        <v>30</v>
      </c>
      <c r="C21" s="47">
        <v>1</v>
      </c>
      <c r="D21" s="52" t="s">
        <v>30</v>
      </c>
      <c r="E21" s="53"/>
      <c r="F21" s="53"/>
      <c r="G21" s="54"/>
      <c r="H21" s="53"/>
      <c r="I21" s="53"/>
    </row>
    <row r="22" spans="1:10">
      <c r="A22" s="50"/>
      <c r="B22" s="55" t="s">
        <v>31</v>
      </c>
      <c r="C22" s="56">
        <v>2</v>
      </c>
      <c r="D22" s="57" t="s">
        <v>31</v>
      </c>
      <c r="E22" s="58" t="s">
        <v>32</v>
      </c>
      <c r="F22" s="59">
        <v>3.2</v>
      </c>
      <c r="G22" s="60">
        <v>3.6</v>
      </c>
      <c r="H22" s="61" t="s">
        <v>33</v>
      </c>
      <c r="I22" s="75">
        <v>1000</v>
      </c>
      <c r="J22" s="1">
        <f>VLOOKUP(C21,'[1]15F0189'!$A:$H,8,0)</f>
        <v>0.0136</v>
      </c>
    </row>
    <row r="23" spans="1:10">
      <c r="A23" s="50">
        <v>155</v>
      </c>
      <c r="B23" s="55" t="s">
        <v>34</v>
      </c>
      <c r="C23" s="56">
        <v>3</v>
      </c>
      <c r="D23" s="57" t="s">
        <v>35</v>
      </c>
      <c r="E23" s="58" t="s">
        <v>36</v>
      </c>
      <c r="F23" s="59">
        <v>6.7</v>
      </c>
      <c r="G23" s="60">
        <v>7.5</v>
      </c>
      <c r="H23" s="61" t="s">
        <v>37</v>
      </c>
      <c r="I23" s="75">
        <v>480</v>
      </c>
      <c r="J23" s="1">
        <f>VLOOKUP(C22,'[1]15F0189'!$A:$H,8,0)</f>
        <v>0.0238</v>
      </c>
    </row>
    <row r="24" ht="24" spans="1:10">
      <c r="A24" s="50">
        <v>2</v>
      </c>
      <c r="B24" s="55" t="s">
        <v>38</v>
      </c>
      <c r="C24" s="56">
        <v>4</v>
      </c>
      <c r="D24" s="57" t="s">
        <v>39</v>
      </c>
      <c r="E24" s="58" t="s">
        <v>40</v>
      </c>
      <c r="F24" s="59">
        <v>2.4</v>
      </c>
      <c r="G24" s="60">
        <v>2.7</v>
      </c>
      <c r="H24" s="61" t="s">
        <v>41</v>
      </c>
      <c r="I24" s="75">
        <v>1333</v>
      </c>
      <c r="J24" s="1">
        <f>VLOOKUP(C23,'[1]15F0189'!$A:$H,8,0)</f>
        <v>0.0122</v>
      </c>
    </row>
    <row r="25" spans="1:10">
      <c r="A25" s="50">
        <v>14</v>
      </c>
      <c r="B25" s="55" t="s">
        <v>42</v>
      </c>
      <c r="C25" s="56">
        <v>5</v>
      </c>
      <c r="D25" s="57" t="s">
        <v>43</v>
      </c>
      <c r="E25" s="58" t="s">
        <v>36</v>
      </c>
      <c r="F25" s="59">
        <v>4</v>
      </c>
      <c r="G25" s="60">
        <v>4.5</v>
      </c>
      <c r="H25" s="61" t="s">
        <v>37</v>
      </c>
      <c r="I25" s="75">
        <v>800</v>
      </c>
      <c r="J25" s="1">
        <f>VLOOKUP(C24,'[1]15F0189'!$A:$H,8,0)</f>
        <v>0.0251</v>
      </c>
    </row>
    <row r="26" ht="24" spans="1:10">
      <c r="A26" s="50">
        <v>198</v>
      </c>
      <c r="B26" s="55" t="s">
        <v>44</v>
      </c>
      <c r="C26" s="56">
        <v>6</v>
      </c>
      <c r="D26" s="57" t="s">
        <v>45</v>
      </c>
      <c r="E26" s="58" t="s">
        <v>40</v>
      </c>
      <c r="F26" s="59">
        <v>0.9</v>
      </c>
      <c r="G26" s="60">
        <v>1.1</v>
      </c>
      <c r="H26" s="61" t="s">
        <v>41</v>
      </c>
      <c r="I26" s="75">
        <v>3273</v>
      </c>
      <c r="J26" s="1">
        <f>VLOOKUP(C25,'[1]15F0189'!$A:$H,8,0)</f>
        <v>0.0046</v>
      </c>
    </row>
    <row r="27" spans="1:10">
      <c r="A27" s="50">
        <v>17</v>
      </c>
      <c r="B27" s="55" t="s">
        <v>46</v>
      </c>
      <c r="C27" s="56">
        <v>7</v>
      </c>
      <c r="D27" s="57" t="s">
        <v>47</v>
      </c>
      <c r="E27" s="58" t="s">
        <v>48</v>
      </c>
      <c r="F27" s="59">
        <v>0.3</v>
      </c>
      <c r="G27" s="60">
        <v>0.4</v>
      </c>
      <c r="H27" s="61" t="s">
        <v>49</v>
      </c>
      <c r="I27" s="75">
        <v>9000</v>
      </c>
      <c r="J27" s="1">
        <f>VLOOKUP(C26,'[1]15F0189'!$A:$H,8,0)</f>
        <v>0.0019</v>
      </c>
    </row>
    <row r="28" spans="1:10">
      <c r="A28" s="50">
        <v>5</v>
      </c>
      <c r="B28" s="55" t="s">
        <v>50</v>
      </c>
      <c r="C28" s="56">
        <v>8</v>
      </c>
      <c r="D28" s="57" t="s">
        <v>51</v>
      </c>
      <c r="E28" s="58" t="s">
        <v>48</v>
      </c>
      <c r="F28" s="59">
        <v>3.5</v>
      </c>
      <c r="G28" s="60">
        <v>3.8</v>
      </c>
      <c r="H28" s="61" t="s">
        <v>49</v>
      </c>
      <c r="I28" s="75">
        <v>947</v>
      </c>
      <c r="J28" s="1">
        <f>VLOOKUP(C27,'[1]15F0189'!$A:$H,8,0)</f>
        <v>0.0122</v>
      </c>
    </row>
    <row r="29" spans="1:10">
      <c r="A29" s="50">
        <v>16</v>
      </c>
      <c r="B29" s="55" t="s">
        <v>52</v>
      </c>
      <c r="C29" s="56">
        <v>9</v>
      </c>
      <c r="D29" s="57" t="s">
        <v>52</v>
      </c>
      <c r="E29" s="58" t="s">
        <v>48</v>
      </c>
      <c r="F29" s="59">
        <v>1.2</v>
      </c>
      <c r="G29" s="60">
        <v>1.3</v>
      </c>
      <c r="H29" s="61" t="s">
        <v>49</v>
      </c>
      <c r="I29" s="75">
        <v>2769</v>
      </c>
      <c r="J29" s="1">
        <f>VLOOKUP(C28,'[1]15F0189'!$A:$H,8,0)</f>
        <v>0.0125</v>
      </c>
    </row>
    <row r="30" spans="1:10">
      <c r="A30" s="50">
        <v>53</v>
      </c>
      <c r="B30" s="55" t="s">
        <v>53</v>
      </c>
      <c r="C30" s="56">
        <v>10</v>
      </c>
      <c r="D30" s="57" t="s">
        <v>53</v>
      </c>
      <c r="E30" s="58" t="s">
        <v>54</v>
      </c>
      <c r="F30" s="59">
        <v>18.1</v>
      </c>
      <c r="G30" s="60">
        <v>20.3</v>
      </c>
      <c r="H30" s="61" t="s">
        <v>49</v>
      </c>
      <c r="I30" s="75">
        <v>177</v>
      </c>
      <c r="J30" s="1">
        <f>VLOOKUP(C29,'[1]15F0189'!$A:$H,8,0)</f>
        <v>0.0576</v>
      </c>
    </row>
    <row r="31" spans="1:10">
      <c r="A31" s="50">
        <v>54</v>
      </c>
      <c r="B31" s="55" t="s">
        <v>55</v>
      </c>
      <c r="C31" s="56">
        <v>11</v>
      </c>
      <c r="D31" s="57" t="s">
        <v>55</v>
      </c>
      <c r="E31" s="58" t="s">
        <v>54</v>
      </c>
      <c r="F31" s="59">
        <v>18.1</v>
      </c>
      <c r="G31" s="60">
        <v>20.3</v>
      </c>
      <c r="H31" s="61" t="s">
        <v>49</v>
      </c>
      <c r="I31" s="75">
        <v>177</v>
      </c>
      <c r="J31" s="1">
        <f>VLOOKUP(C30,'[1]15F0189'!$A:$H,8,0)</f>
        <v>0.0576</v>
      </c>
    </row>
    <row r="32" spans="1:10">
      <c r="A32" s="50">
        <v>170</v>
      </c>
      <c r="B32" s="55" t="s">
        <v>56</v>
      </c>
      <c r="C32" s="56">
        <v>12</v>
      </c>
      <c r="D32" s="57" t="s">
        <v>57</v>
      </c>
      <c r="E32" s="58" t="s">
        <v>48</v>
      </c>
      <c r="F32" s="59">
        <v>8.3</v>
      </c>
      <c r="G32" s="60">
        <v>9.1</v>
      </c>
      <c r="H32" s="61" t="s">
        <v>37</v>
      </c>
      <c r="I32" s="75">
        <v>396</v>
      </c>
      <c r="J32" s="1">
        <f>VLOOKUP(C31,'[1]15F0189'!$A:$H,8,0)</f>
        <v>0.032</v>
      </c>
    </row>
    <row r="33" spans="1:10">
      <c r="A33" s="50">
        <v>12</v>
      </c>
      <c r="B33" s="55" t="s">
        <v>58</v>
      </c>
      <c r="C33" s="56"/>
      <c r="D33" s="57" t="s">
        <v>58</v>
      </c>
      <c r="E33" s="58" t="s">
        <v>59</v>
      </c>
      <c r="F33" s="59">
        <v>3.6</v>
      </c>
      <c r="G33" s="60">
        <v>4</v>
      </c>
      <c r="H33" s="61" t="s">
        <v>37</v>
      </c>
      <c r="I33" s="75">
        <v>900</v>
      </c>
      <c r="J33" s="1">
        <f>VLOOKUP(C32,'[1]15F0189'!$A:$H,8,0)</f>
        <v>0.0046</v>
      </c>
    </row>
    <row r="34" spans="1:10">
      <c r="A34" s="50">
        <v>11</v>
      </c>
      <c r="B34" s="55" t="s">
        <v>60</v>
      </c>
      <c r="C34" s="56"/>
      <c r="D34" s="57"/>
      <c r="E34" s="58"/>
      <c r="F34" s="59"/>
      <c r="G34" s="60"/>
      <c r="H34" s="61"/>
      <c r="I34" s="75"/>
      <c r="J34" s="1" t="e">
        <f>VLOOKUP(C33,'[1]15F0189'!$A:$H,8,0)</f>
        <v>#N/A</v>
      </c>
    </row>
    <row r="35" spans="1:10">
      <c r="A35" s="50"/>
      <c r="B35" s="51" t="s">
        <v>61</v>
      </c>
      <c r="C35" s="47"/>
      <c r="D35" s="52" t="s">
        <v>61</v>
      </c>
      <c r="E35" s="53"/>
      <c r="F35" s="53"/>
      <c r="G35" s="54"/>
      <c r="H35" s="53"/>
      <c r="I35" s="53"/>
      <c r="J35" s="1" t="e">
        <f>VLOOKUP(C34,'[1]15F0189'!$A:$H,8,0)</f>
        <v>#N/A</v>
      </c>
    </row>
    <row r="36" spans="1:10">
      <c r="A36" s="50">
        <v>27</v>
      </c>
      <c r="B36" s="55" t="s">
        <v>62</v>
      </c>
      <c r="C36" s="56">
        <v>13</v>
      </c>
      <c r="D36" s="57" t="s">
        <v>63</v>
      </c>
      <c r="E36" s="58" t="s">
        <v>48</v>
      </c>
      <c r="F36" s="59">
        <v>18.7</v>
      </c>
      <c r="G36" s="60">
        <v>20.7</v>
      </c>
      <c r="H36" s="61" t="s">
        <v>37</v>
      </c>
      <c r="I36" s="75">
        <v>174</v>
      </c>
      <c r="J36" s="1" t="e">
        <f>VLOOKUP(C35,'[1]15F0189'!$A:$H,8,0)</f>
        <v>#N/A</v>
      </c>
    </row>
    <row r="37" spans="1:10">
      <c r="A37" s="50">
        <v>20</v>
      </c>
      <c r="B37" s="55" t="s">
        <v>64</v>
      </c>
      <c r="C37" s="56">
        <v>14</v>
      </c>
      <c r="D37" s="57" t="s">
        <v>65</v>
      </c>
      <c r="E37" s="58" t="s">
        <v>66</v>
      </c>
      <c r="F37" s="59">
        <v>10.3</v>
      </c>
      <c r="G37" s="60">
        <v>11.5</v>
      </c>
      <c r="H37" s="61" t="s">
        <v>41</v>
      </c>
      <c r="I37" s="75">
        <v>313</v>
      </c>
      <c r="J37" s="1">
        <f>VLOOKUP(C36,'[1]15F0189'!$A:$H,8,0)</f>
        <v>0.0683</v>
      </c>
    </row>
    <row r="38" ht="24" spans="1:10">
      <c r="A38" s="50">
        <v>21</v>
      </c>
      <c r="B38" s="55" t="s">
        <v>67</v>
      </c>
      <c r="C38" s="56">
        <v>15</v>
      </c>
      <c r="D38" s="57" t="s">
        <v>68</v>
      </c>
      <c r="E38" s="58" t="s">
        <v>69</v>
      </c>
      <c r="F38" s="59">
        <v>12</v>
      </c>
      <c r="G38" s="60">
        <v>13.4</v>
      </c>
      <c r="H38" s="61" t="s">
        <v>70</v>
      </c>
      <c r="I38" s="75">
        <v>269</v>
      </c>
      <c r="J38" s="1">
        <f>VLOOKUP(C37,'[1]15F0189'!$A:$H,8,0)</f>
        <v>0.0437</v>
      </c>
    </row>
    <row r="39" ht="24" spans="1:10">
      <c r="A39" s="50">
        <v>23</v>
      </c>
      <c r="B39" s="55" t="s">
        <v>71</v>
      </c>
      <c r="C39" s="56">
        <v>16</v>
      </c>
      <c r="D39" s="57" t="s">
        <v>72</v>
      </c>
      <c r="E39" s="58" t="s">
        <v>73</v>
      </c>
      <c r="F39" s="59">
        <v>19.4</v>
      </c>
      <c r="G39" s="60">
        <v>21.8</v>
      </c>
      <c r="H39" s="61" t="s">
        <v>74</v>
      </c>
      <c r="I39" s="75">
        <v>165</v>
      </c>
      <c r="J39" s="1">
        <f>VLOOKUP(C38,'[1]15F0189'!$A:$H,8,0)</f>
        <v>0.0536</v>
      </c>
    </row>
    <row r="40" spans="1:10">
      <c r="A40" s="50">
        <v>24</v>
      </c>
      <c r="B40" s="55" t="s">
        <v>75</v>
      </c>
      <c r="C40" s="56">
        <v>17</v>
      </c>
      <c r="D40" s="57" t="s">
        <v>76</v>
      </c>
      <c r="E40" s="58" t="s">
        <v>66</v>
      </c>
      <c r="F40" s="59">
        <v>8.6</v>
      </c>
      <c r="G40" s="60">
        <v>9.5</v>
      </c>
      <c r="H40" s="61" t="s">
        <v>77</v>
      </c>
      <c r="I40" s="75">
        <v>379</v>
      </c>
      <c r="J40" s="1">
        <f>VLOOKUP(C39,'[1]15F0189'!$A:$H,8,0)</f>
        <v>0.085</v>
      </c>
    </row>
    <row r="41" ht="24" spans="1:10">
      <c r="A41" s="50">
        <v>22</v>
      </c>
      <c r="B41" s="55" t="s">
        <v>78</v>
      </c>
      <c r="C41" s="56">
        <v>18</v>
      </c>
      <c r="D41" s="57" t="s">
        <v>79</v>
      </c>
      <c r="E41" s="58" t="s">
        <v>69</v>
      </c>
      <c r="F41" s="59">
        <v>9.4</v>
      </c>
      <c r="G41" s="60">
        <v>10.4</v>
      </c>
      <c r="H41" s="61" t="s">
        <v>74</v>
      </c>
      <c r="I41" s="75">
        <v>346</v>
      </c>
      <c r="J41" s="1">
        <f>VLOOKUP(C40,'[1]15F0189'!$A:$H,8,0)</f>
        <v>0.0399</v>
      </c>
    </row>
    <row r="42" ht="24" spans="1:10">
      <c r="A42" s="50">
        <v>25</v>
      </c>
      <c r="B42" s="62" t="s">
        <v>80</v>
      </c>
      <c r="C42" s="56">
        <v>19</v>
      </c>
      <c r="D42" s="57" t="s">
        <v>81</v>
      </c>
      <c r="E42" s="58" t="s">
        <v>66</v>
      </c>
      <c r="F42" s="59">
        <v>10.8</v>
      </c>
      <c r="G42" s="60">
        <v>12</v>
      </c>
      <c r="H42" s="61" t="s">
        <v>77</v>
      </c>
      <c r="I42" s="75">
        <v>300</v>
      </c>
      <c r="J42" s="1">
        <f>VLOOKUP(C41,'[1]15F0189'!$A:$H,8,0)</f>
        <v>0.0406</v>
      </c>
    </row>
    <row r="43" ht="24" spans="1:10">
      <c r="A43" s="50">
        <v>26</v>
      </c>
      <c r="B43" s="55" t="s">
        <v>82</v>
      </c>
      <c r="C43" s="56">
        <v>20</v>
      </c>
      <c r="D43" s="57" t="s">
        <v>83</v>
      </c>
      <c r="E43" s="58" t="s">
        <v>69</v>
      </c>
      <c r="F43" s="59">
        <v>32.3</v>
      </c>
      <c r="G43" s="60">
        <v>36</v>
      </c>
      <c r="H43" s="61" t="s">
        <v>77</v>
      </c>
      <c r="I43" s="75">
        <v>100</v>
      </c>
      <c r="J43" s="1">
        <f>VLOOKUP(C42,'[1]15F0189'!$A:$H,8,0)</f>
        <v>0.0504</v>
      </c>
    </row>
    <row r="44" ht="24" spans="1:10">
      <c r="A44" s="50">
        <v>28</v>
      </c>
      <c r="B44" s="55" t="s">
        <v>84</v>
      </c>
      <c r="C44" s="56">
        <v>21</v>
      </c>
      <c r="D44" s="57" t="s">
        <v>85</v>
      </c>
      <c r="E44" s="58" t="s">
        <v>69</v>
      </c>
      <c r="F44" s="59">
        <v>39.6</v>
      </c>
      <c r="G44" s="60">
        <v>44.4</v>
      </c>
      <c r="H44" s="61" t="s">
        <v>77</v>
      </c>
      <c r="I44" s="75">
        <v>81</v>
      </c>
      <c r="J44" s="1">
        <f>VLOOKUP(C43,'[1]15F0189'!$A:$H,8,0)</f>
        <v>0.1512</v>
      </c>
    </row>
    <row r="45" ht="24" spans="1:10">
      <c r="A45" s="50">
        <v>29</v>
      </c>
      <c r="B45" s="55" t="s">
        <v>86</v>
      </c>
      <c r="C45" s="56">
        <v>22</v>
      </c>
      <c r="D45" s="57" t="s">
        <v>87</v>
      </c>
      <c r="E45" s="58" t="s">
        <v>73</v>
      </c>
      <c r="F45" s="59">
        <v>24.9</v>
      </c>
      <c r="G45" s="60">
        <v>28</v>
      </c>
      <c r="H45" s="61" t="s">
        <v>88</v>
      </c>
      <c r="I45" s="75">
        <v>129</v>
      </c>
      <c r="J45" s="1">
        <f>VLOOKUP(C44,'[1]15F0189'!$A:$H,8,0)</f>
        <v>0.1865</v>
      </c>
    </row>
    <row r="46" ht="24" spans="1:10">
      <c r="A46" s="50">
        <v>30</v>
      </c>
      <c r="B46" s="55" t="s">
        <v>89</v>
      </c>
      <c r="C46" s="56">
        <v>23</v>
      </c>
      <c r="D46" s="57" t="s">
        <v>90</v>
      </c>
      <c r="E46" s="58" t="s">
        <v>73</v>
      </c>
      <c r="F46" s="59">
        <v>24.2</v>
      </c>
      <c r="G46" s="60">
        <v>27.5</v>
      </c>
      <c r="H46" s="61" t="s">
        <v>88</v>
      </c>
      <c r="I46" s="75">
        <v>131</v>
      </c>
      <c r="J46" s="1">
        <f>VLOOKUP(C45,'[1]15F0189'!$A:$H,8,0)</f>
        <v>0.1204</v>
      </c>
    </row>
    <row r="47" spans="1:10">
      <c r="A47" s="50">
        <v>120</v>
      </c>
      <c r="B47" s="55" t="s">
        <v>91</v>
      </c>
      <c r="C47" s="56">
        <v>24</v>
      </c>
      <c r="D47" s="57" t="s">
        <v>92</v>
      </c>
      <c r="E47" s="58" t="s">
        <v>93</v>
      </c>
      <c r="F47" s="59">
        <v>21.6</v>
      </c>
      <c r="G47" s="60">
        <v>23.9</v>
      </c>
      <c r="H47" s="61" t="s">
        <v>94</v>
      </c>
      <c r="I47" s="75">
        <v>151</v>
      </c>
      <c r="J47" s="1">
        <f>VLOOKUP(C46,'[1]15F0189'!$A:$H,8,0)</f>
        <v>0.1183</v>
      </c>
    </row>
    <row r="48" spans="1:10">
      <c r="A48" s="50"/>
      <c r="B48" s="51" t="s">
        <v>95</v>
      </c>
      <c r="C48" s="63"/>
      <c r="D48" s="53" t="s">
        <v>95</v>
      </c>
      <c r="E48" s="53"/>
      <c r="F48" s="53"/>
      <c r="G48" s="54"/>
      <c r="H48" s="53"/>
      <c r="I48" s="53"/>
      <c r="J48" s="1">
        <f>VLOOKUP(C47,'[1]15F0189'!$A:$H,8,0)</f>
        <v>0.0813</v>
      </c>
    </row>
    <row r="49" spans="1:10">
      <c r="A49" s="50">
        <v>103</v>
      </c>
      <c r="B49" s="55" t="s">
        <v>96</v>
      </c>
      <c r="C49" s="64">
        <v>25</v>
      </c>
      <c r="D49" s="58" t="s">
        <v>96</v>
      </c>
      <c r="E49" s="58" t="s">
        <v>97</v>
      </c>
      <c r="F49" s="59">
        <v>37.3</v>
      </c>
      <c r="G49" s="60">
        <v>41.9</v>
      </c>
      <c r="H49" s="61" t="s">
        <v>88</v>
      </c>
      <c r="I49" s="75">
        <v>86</v>
      </c>
      <c r="J49" s="1" t="e">
        <f>VLOOKUP(C48,'[1]15F0189'!$A:$H,8,0)</f>
        <v>#N/A</v>
      </c>
    </row>
    <row r="50" spans="1:10">
      <c r="A50" s="50">
        <v>105</v>
      </c>
      <c r="B50" s="55" t="s">
        <v>98</v>
      </c>
      <c r="C50" s="64">
        <v>26</v>
      </c>
      <c r="D50" s="58" t="s">
        <v>99</v>
      </c>
      <c r="E50" s="58" t="s">
        <v>48</v>
      </c>
      <c r="F50" s="59">
        <v>34.2</v>
      </c>
      <c r="G50" s="60">
        <v>37.8</v>
      </c>
      <c r="H50" s="61" t="s">
        <v>94</v>
      </c>
      <c r="I50" s="75">
        <v>95</v>
      </c>
      <c r="J50" s="1">
        <f>VLOOKUP(C49,'[1]15F0189'!$A:$H,8,0)</f>
        <v>0.1802</v>
      </c>
    </row>
    <row r="51" spans="1:10">
      <c r="A51" s="50">
        <v>126</v>
      </c>
      <c r="B51" s="55" t="s">
        <v>100</v>
      </c>
      <c r="C51" s="64"/>
      <c r="D51" s="58"/>
      <c r="E51" s="58"/>
      <c r="F51" s="59"/>
      <c r="G51" s="60"/>
      <c r="H51" s="61"/>
      <c r="I51" s="75"/>
      <c r="J51" s="1">
        <f>VLOOKUP(C50,'[1]15F0189'!$A:$H,8,0)</f>
        <v>0.1285</v>
      </c>
    </row>
    <row r="52" spans="1:10">
      <c r="A52" s="50">
        <v>43</v>
      </c>
      <c r="B52" s="65" t="s">
        <v>101</v>
      </c>
      <c r="C52" s="64">
        <v>27</v>
      </c>
      <c r="D52" s="58" t="s">
        <v>101</v>
      </c>
      <c r="E52" s="58" t="s">
        <v>48</v>
      </c>
      <c r="F52" s="59">
        <v>5.7</v>
      </c>
      <c r="G52" s="60">
        <v>6.3</v>
      </c>
      <c r="H52" s="61" t="s">
        <v>33</v>
      </c>
      <c r="I52" s="75">
        <v>571</v>
      </c>
      <c r="J52" s="1" t="e">
        <f>VLOOKUP(C51,'[1]15F0189'!$A:$H,8,0)</f>
        <v>#N/A</v>
      </c>
    </row>
    <row r="53" spans="1:10">
      <c r="A53" s="50">
        <v>31</v>
      </c>
      <c r="B53" s="66" t="s">
        <v>102</v>
      </c>
      <c r="C53" s="64">
        <v>28</v>
      </c>
      <c r="D53" s="58" t="s">
        <v>102</v>
      </c>
      <c r="E53" s="58" t="s">
        <v>48</v>
      </c>
      <c r="F53" s="59">
        <v>2.9</v>
      </c>
      <c r="G53" s="60">
        <v>3.2</v>
      </c>
      <c r="H53" s="61" t="s">
        <v>33</v>
      </c>
      <c r="I53" s="75">
        <v>1125</v>
      </c>
      <c r="J53" s="1">
        <f>VLOOKUP(C52,'[1]15F0189'!$A:$H,8,0)</f>
        <v>0.0195</v>
      </c>
    </row>
    <row r="54" spans="1:10">
      <c r="A54" s="50">
        <v>140</v>
      </c>
      <c r="B54" s="51" t="s">
        <v>103</v>
      </c>
      <c r="C54" s="64">
        <v>37</v>
      </c>
      <c r="D54" s="58" t="s">
        <v>103</v>
      </c>
      <c r="E54" s="58" t="s">
        <v>48</v>
      </c>
      <c r="F54" s="59">
        <v>3</v>
      </c>
      <c r="G54" s="60">
        <v>3.3</v>
      </c>
      <c r="H54" s="61" t="s">
        <v>33</v>
      </c>
      <c r="I54" s="75">
        <v>1091</v>
      </c>
      <c r="J54" s="1">
        <f>VLOOKUP(C53,'[1]15F0189'!$A:$H,8,0)</f>
        <v>0.0099</v>
      </c>
    </row>
    <row r="55" spans="1:10">
      <c r="A55" s="67">
        <v>172</v>
      </c>
      <c r="B55" s="68" t="s">
        <v>104</v>
      </c>
      <c r="C55" s="64">
        <v>29</v>
      </c>
      <c r="D55" s="58" t="s">
        <v>105</v>
      </c>
      <c r="E55" s="58" t="s">
        <v>48</v>
      </c>
      <c r="F55" s="59">
        <v>3.7</v>
      </c>
      <c r="G55" s="60">
        <v>4.1</v>
      </c>
      <c r="H55" s="61" t="s">
        <v>33</v>
      </c>
      <c r="I55" s="75">
        <v>878</v>
      </c>
      <c r="J55" s="1">
        <f>VLOOKUP(C54,'[1]15F0189'!$A:$H,8,0)</f>
        <v>0.0102</v>
      </c>
    </row>
    <row r="56" spans="1:10">
      <c r="A56" s="69"/>
      <c r="B56" s="70"/>
      <c r="C56" s="64">
        <v>48</v>
      </c>
      <c r="D56" s="58" t="s">
        <v>106</v>
      </c>
      <c r="E56" s="58" t="s">
        <v>48</v>
      </c>
      <c r="F56" s="59">
        <v>2.9</v>
      </c>
      <c r="G56" s="60">
        <v>3.2</v>
      </c>
      <c r="H56" s="61" t="s">
        <v>33</v>
      </c>
      <c r="I56" s="75">
        <v>1125</v>
      </c>
      <c r="J56" s="1">
        <f>VLOOKUP(C55,'[1]15F0189'!$A:$H,8,0)</f>
        <v>0.0127</v>
      </c>
    </row>
    <row r="57" spans="1:10">
      <c r="A57" s="50">
        <v>32</v>
      </c>
      <c r="B57" s="51" t="s">
        <v>107</v>
      </c>
      <c r="C57" s="64">
        <v>30</v>
      </c>
      <c r="D57" s="58" t="s">
        <v>108</v>
      </c>
      <c r="E57" s="58" t="s">
        <v>48</v>
      </c>
      <c r="F57" s="59">
        <v>2.4</v>
      </c>
      <c r="G57" s="60">
        <v>2.7</v>
      </c>
      <c r="H57" s="61" t="s">
        <v>33</v>
      </c>
      <c r="I57" s="75">
        <v>1333</v>
      </c>
      <c r="J57" s="1" t="e">
        <f>VLOOKUP(C56,'[1]15F0189'!$A:$H,8,0)</f>
        <v>#N/A</v>
      </c>
    </row>
    <row r="58" ht="24" spans="1:10">
      <c r="A58" s="50">
        <v>33</v>
      </c>
      <c r="B58" s="71" t="s">
        <v>109</v>
      </c>
      <c r="C58" s="64">
        <v>46</v>
      </c>
      <c r="D58" s="58" t="s">
        <v>110</v>
      </c>
      <c r="E58" s="58" t="s">
        <v>48</v>
      </c>
      <c r="F58" s="59">
        <v>4.3</v>
      </c>
      <c r="G58" s="60">
        <v>4.8</v>
      </c>
      <c r="H58" s="61" t="s">
        <v>33</v>
      </c>
      <c r="I58" s="75">
        <v>750</v>
      </c>
      <c r="J58" s="1">
        <f>VLOOKUP(C57,'[1]15F0189'!$A:$H,8,0)</f>
        <v>0.0084</v>
      </c>
    </row>
    <row r="59" ht="24" spans="1:10">
      <c r="A59" s="50">
        <v>34</v>
      </c>
      <c r="B59" s="71" t="s">
        <v>111</v>
      </c>
      <c r="C59" s="64">
        <v>47</v>
      </c>
      <c r="D59" s="58" t="s">
        <v>112</v>
      </c>
      <c r="E59" s="58" t="s">
        <v>48</v>
      </c>
      <c r="F59" s="59">
        <v>6.3</v>
      </c>
      <c r="G59" s="60">
        <v>7</v>
      </c>
      <c r="H59" s="61" t="s">
        <v>113</v>
      </c>
      <c r="I59" s="75">
        <v>514</v>
      </c>
      <c r="J59" s="1">
        <f>VLOOKUP(C58,'[1]15F0189'!$A:$H,8,0)</f>
        <v>0.0149</v>
      </c>
    </row>
    <row r="60" ht="24" spans="1:10">
      <c r="A60" s="50">
        <v>35</v>
      </c>
      <c r="B60" s="71" t="s">
        <v>114</v>
      </c>
      <c r="C60" s="64">
        <v>31</v>
      </c>
      <c r="D60" s="58" t="s">
        <v>115</v>
      </c>
      <c r="E60" s="58" t="s">
        <v>48</v>
      </c>
      <c r="F60" s="59">
        <v>4</v>
      </c>
      <c r="G60" s="60">
        <v>4.5</v>
      </c>
      <c r="H60" s="61" t="s">
        <v>33</v>
      </c>
      <c r="I60" s="75">
        <v>800</v>
      </c>
      <c r="J60" s="1">
        <f>VLOOKUP(C59,'[1]15F0189'!$A:$H,8,0)</f>
        <v>0.0221</v>
      </c>
    </row>
    <row r="61" spans="1:10">
      <c r="A61" s="50">
        <v>154</v>
      </c>
      <c r="B61" s="55" t="s">
        <v>116</v>
      </c>
      <c r="C61" s="64">
        <v>32</v>
      </c>
      <c r="D61" s="58" t="s">
        <v>117</v>
      </c>
      <c r="E61" s="58" t="s">
        <v>48</v>
      </c>
      <c r="F61" s="59">
        <v>21.9</v>
      </c>
      <c r="G61" s="60">
        <v>24.2</v>
      </c>
      <c r="H61" s="61" t="s">
        <v>33</v>
      </c>
      <c r="I61" s="75">
        <v>149</v>
      </c>
      <c r="J61" s="1">
        <f>VLOOKUP(C60,'[1]15F0189'!$A:$H,8,0)</f>
        <v>0.014</v>
      </c>
    </row>
    <row r="62" ht="24" spans="1:10">
      <c r="A62" s="50">
        <v>36</v>
      </c>
      <c r="B62" s="71" t="s">
        <v>118</v>
      </c>
      <c r="C62" s="64">
        <v>33</v>
      </c>
      <c r="D62" s="58" t="s">
        <v>119</v>
      </c>
      <c r="E62" s="58" t="s">
        <v>48</v>
      </c>
      <c r="F62" s="59">
        <v>6.1</v>
      </c>
      <c r="G62" s="60">
        <v>6.8</v>
      </c>
      <c r="H62" s="61" t="s">
        <v>33</v>
      </c>
      <c r="I62" s="75">
        <v>529</v>
      </c>
      <c r="J62" s="1">
        <f>VLOOKUP(C61,'[1]15F0189'!$A:$H,8,0)</f>
        <v>0.075</v>
      </c>
    </row>
    <row r="63" spans="1:10">
      <c r="A63" s="50">
        <v>37</v>
      </c>
      <c r="B63" s="51" t="s">
        <v>120</v>
      </c>
      <c r="C63" s="64">
        <v>34</v>
      </c>
      <c r="D63" s="58" t="s">
        <v>121</v>
      </c>
      <c r="E63" s="58" t="s">
        <v>48</v>
      </c>
      <c r="F63" s="59">
        <v>2.3</v>
      </c>
      <c r="G63" s="60">
        <v>2.6</v>
      </c>
      <c r="H63" s="61" t="s">
        <v>33</v>
      </c>
      <c r="I63" s="75">
        <v>1385</v>
      </c>
      <c r="J63" s="1">
        <f>VLOOKUP(C62,'[1]15F0189'!$A:$H,8,0)</f>
        <v>0.0211</v>
      </c>
    </row>
    <row r="64" ht="24" spans="1:10">
      <c r="A64" s="50">
        <v>38</v>
      </c>
      <c r="B64" s="71" t="s">
        <v>122</v>
      </c>
      <c r="C64" s="64">
        <v>35</v>
      </c>
      <c r="D64" s="58" t="s">
        <v>123</v>
      </c>
      <c r="E64" s="58" t="s">
        <v>48</v>
      </c>
      <c r="F64" s="59">
        <v>5.4</v>
      </c>
      <c r="G64" s="60">
        <v>6</v>
      </c>
      <c r="H64" s="61" t="s">
        <v>33</v>
      </c>
      <c r="I64" s="75">
        <v>600</v>
      </c>
      <c r="J64" s="1">
        <f>VLOOKUP(C63,'[1]15F0189'!$A:$H,8,0)</f>
        <v>0.0081</v>
      </c>
    </row>
    <row r="65" spans="1:10">
      <c r="A65" s="50">
        <v>102</v>
      </c>
      <c r="B65" s="55" t="s">
        <v>124</v>
      </c>
      <c r="C65" s="64">
        <v>38</v>
      </c>
      <c r="D65" s="58" t="s">
        <v>125</v>
      </c>
      <c r="E65" s="58" t="s">
        <v>48</v>
      </c>
      <c r="F65" s="59">
        <v>1.4</v>
      </c>
      <c r="G65" s="60">
        <v>1.6</v>
      </c>
      <c r="H65" s="61" t="s">
        <v>33</v>
      </c>
      <c r="I65" s="75">
        <v>2250</v>
      </c>
      <c r="J65" s="1">
        <f>VLOOKUP(C64,'[1]15F0189'!$A:$H,8,0)</f>
        <v>0.0186</v>
      </c>
    </row>
    <row r="66" ht="24" spans="1:10">
      <c r="A66" s="77">
        <v>39</v>
      </c>
      <c r="B66" s="78" t="s">
        <v>126</v>
      </c>
      <c r="C66" s="64">
        <v>39</v>
      </c>
      <c r="D66" s="79" t="s">
        <v>127</v>
      </c>
      <c r="E66" s="79" t="s">
        <v>48</v>
      </c>
      <c r="F66" s="80">
        <v>1.3</v>
      </c>
      <c r="G66" s="80">
        <v>1.5</v>
      </c>
      <c r="H66" s="64" t="s">
        <v>33</v>
      </c>
      <c r="I66" s="84">
        <v>2400</v>
      </c>
      <c r="J66" s="1">
        <f>VLOOKUP(C65,'[1]15F0189'!$A:$H,8,0)</f>
        <v>0.005</v>
      </c>
    </row>
    <row r="67" spans="1:10">
      <c r="A67" s="50">
        <v>152</v>
      </c>
      <c r="B67" s="51" t="s">
        <v>128</v>
      </c>
      <c r="C67" s="64">
        <v>40</v>
      </c>
      <c r="D67" s="58" t="s">
        <v>129</v>
      </c>
      <c r="E67" s="58" t="s">
        <v>48</v>
      </c>
      <c r="F67" s="59">
        <v>1.4</v>
      </c>
      <c r="G67" s="60">
        <v>1.6</v>
      </c>
      <c r="H67" s="61" t="s">
        <v>33</v>
      </c>
      <c r="I67" s="75">
        <v>2250</v>
      </c>
      <c r="J67" s="1">
        <f>VLOOKUP(C66,'[1]15F0189'!$A:$H,8,0)</f>
        <v>0.0031</v>
      </c>
    </row>
    <row r="68" ht="48" spans="1:10">
      <c r="A68" s="50">
        <v>40</v>
      </c>
      <c r="B68" s="71" t="s">
        <v>140</v>
      </c>
      <c r="C68" s="64">
        <v>41</v>
      </c>
      <c r="D68" s="58" t="s">
        <v>141</v>
      </c>
      <c r="E68" s="58" t="s">
        <v>48</v>
      </c>
      <c r="F68" s="81">
        <v>4.4</v>
      </c>
      <c r="G68" s="82">
        <v>4.9</v>
      </c>
      <c r="H68" s="61" t="s">
        <v>33</v>
      </c>
      <c r="I68" s="75">
        <v>735</v>
      </c>
      <c r="J68" s="1">
        <f>VLOOKUP(C67,'[1]15F0189'!$A:$H,8,0)</f>
        <v>0.005</v>
      </c>
    </row>
    <row r="69" ht="24" spans="1:11">
      <c r="A69" s="50">
        <v>41</v>
      </c>
      <c r="B69" s="51" t="s">
        <v>133</v>
      </c>
      <c r="C69" s="64">
        <v>42</v>
      </c>
      <c r="D69" s="58" t="s">
        <v>142</v>
      </c>
      <c r="E69" s="58" t="s">
        <v>48</v>
      </c>
      <c r="F69" s="81">
        <v>0.3</v>
      </c>
      <c r="G69" s="82">
        <v>0.3</v>
      </c>
      <c r="H69" s="61" t="s">
        <v>33</v>
      </c>
      <c r="I69" s="75">
        <v>12000</v>
      </c>
      <c r="J69" s="1">
        <f>VLOOKUP(C68,'[1]15F0189'!$A:$H,8,0)</f>
        <v>0.0152</v>
      </c>
      <c r="K69" s="1">
        <v>8</v>
      </c>
    </row>
    <row r="70" ht="48" spans="1:10">
      <c r="A70" s="50">
        <v>165</v>
      </c>
      <c r="B70" s="51" t="s">
        <v>135</v>
      </c>
      <c r="C70" s="64">
        <v>43</v>
      </c>
      <c r="D70" s="58" t="s">
        <v>136</v>
      </c>
      <c r="E70" s="58" t="s">
        <v>48</v>
      </c>
      <c r="F70" s="59">
        <v>3.5</v>
      </c>
      <c r="G70" s="60">
        <v>3.9</v>
      </c>
      <c r="H70" s="61" t="s">
        <v>33</v>
      </c>
      <c r="I70" s="75">
        <v>923</v>
      </c>
      <c r="J70" s="1">
        <f>VLOOKUP(C69,'[1]15F0189'!$A:$H,8,0)</f>
        <v>0.0009</v>
      </c>
    </row>
    <row r="71" ht="24" spans="1:10">
      <c r="A71" s="50">
        <v>42</v>
      </c>
      <c r="B71" s="71" t="s">
        <v>137</v>
      </c>
      <c r="C71" s="64">
        <v>44</v>
      </c>
      <c r="D71" s="58" t="s">
        <v>138</v>
      </c>
      <c r="E71" s="58" t="s">
        <v>48</v>
      </c>
      <c r="F71" s="59">
        <v>0.4</v>
      </c>
      <c r="G71" s="60">
        <v>0.5</v>
      </c>
      <c r="H71" s="61" t="s">
        <v>33</v>
      </c>
      <c r="I71" s="75">
        <v>7200</v>
      </c>
      <c r="J71" s="1">
        <f>VLOOKUP(C70,'[1]15F0189'!$A:$H,8,0)</f>
        <v>0.0121</v>
      </c>
    </row>
    <row r="73" s="1" customFormat="1" spans="1:7">
      <c r="A73" s="83" t="s">
        <v>139</v>
      </c>
      <c r="B73" s="83"/>
      <c r="C73" s="83"/>
      <c r="D73" s="83"/>
      <c r="E73" s="83"/>
      <c r="F73" s="83"/>
      <c r="G73" s="6"/>
    </row>
  </sheetData>
  <autoFilter xmlns:etc="http://www.wps.cn/officeDocument/2017/etCustomData" ref="A20:BT73" etc:filterBottomFollowUsedRange="0">
    <extLst/>
  </autoFilter>
  <mergeCells count="22">
    <mergeCell ref="A1:I1"/>
    <mergeCell ref="A2:I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73:G73"/>
    <mergeCell ref="A55:A56"/>
    <mergeCell ref="B55:B56"/>
    <mergeCell ref="E3:I19"/>
  </mergeCells>
  <conditionalFormatting sqref="A71:B71">
    <cfRule type="duplicateValues" dxfId="0" priority="1"/>
  </conditionalFormatting>
  <conditionalFormatting sqref="A21:B51 A53:B55 A57:B70 A52">
    <cfRule type="duplicateValues" dxfId="0" priority="2"/>
  </conditionalFormatting>
  <printOptions horizontalCentered="1"/>
  <pageMargins left="0.0388888888888889" right="0.0388888888888889" top="0.0388888888888889" bottom="0.0388888888888889" header="0.196527777777778" footer="0.196527777777778"/>
  <pageSetup paperSize="9" orientation="portrait" horizontalDpi="600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15F0189</vt:lpstr>
      <vt:lpstr>15F0189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2025-05-21T02:34:00Z</dcterms:created>
  <dcterms:modified xsi:type="dcterms:W3CDTF">2025-08-04T08:45:59Z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590E4ACCFA6B4A07B6185AE34AA9BDCA_11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