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nzhu Lai\Dropbox\Yunzhu Exp\data\International order firm\runfeng\半年数据\半年数据\工序表\"/>
    </mc:Choice>
  </mc:AlternateContent>
  <xr:revisionPtr revIDLastSave="0" documentId="13_ncr:1_{A24031F9-0857-4778-AA60-C1A95F276FC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15A0212" sheetId="1" r:id="rId1"/>
  </sheets>
  <definedNames>
    <definedName name="_xlnm.Print_Titles" localSheetId="0">'15A0212'!$1:$11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</calcChain>
</file>

<file path=xl/sharedStrings.xml><?xml version="1.0" encoding="utf-8"?>
<sst xmlns="http://schemas.openxmlformats.org/spreadsheetml/2006/main" count="305" uniqueCount="159">
  <si>
    <t>重庆尚上服饰有限公司</t>
  </si>
  <si>
    <t>款式工序表</t>
  </si>
  <si>
    <t>打印日期：2025-03-07 11:28:35</t>
  </si>
  <si>
    <t>生产制单号:</t>
  </si>
  <si>
    <t>15A0212</t>
  </si>
  <si>
    <t>客　　户：</t>
  </si>
  <si>
    <t>mondetta</t>
  </si>
  <si>
    <t>客户款号:</t>
  </si>
  <si>
    <t>款式描述：</t>
  </si>
  <si>
    <t>扁级罗纹领（前后拼缝四针六线、袖口、下摆反折冚车）</t>
  </si>
  <si>
    <t>品质标准:</t>
  </si>
  <si>
    <t>数　　量：</t>
  </si>
  <si>
    <t>车缝时间:</t>
  </si>
  <si>
    <t>车缝10H台产:</t>
  </si>
  <si>
    <t>裁床10H台产:</t>
  </si>
  <si>
    <t>尾部10H台产: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</si>
  <si>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</si>
  <si>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</si>
  <si>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</si>
  <si>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</si>
  <si>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</si>
  <si>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</si>
  <si>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</si>
  <si>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</si>
  <si>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</si>
  <si>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</si>
  <si>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</si>
  <si>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</si>
  <si>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</si>
  <si>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</si>
  <si>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松布机松面布*0.7512</t>
  </si>
  <si>
    <t>松布机松面布*0.65</t>
  </si>
  <si>
    <t>松布机</t>
  </si>
  <si>
    <t>E2</t>
  </si>
  <si>
    <t>拉布机拉面布*0.7512</t>
  </si>
  <si>
    <t>拉布机拉面布*0.65(隔线）</t>
  </si>
  <si>
    <t>拉布机</t>
  </si>
  <si>
    <t>E3</t>
  </si>
  <si>
    <t>拉布机拉衬布*0.0056</t>
  </si>
  <si>
    <t>拉布机拉衬布*0.0145</t>
  </si>
  <si>
    <t>裁剪衬*1</t>
  </si>
  <si>
    <t>电脑裁剪</t>
  </si>
  <si>
    <t>D4</t>
  </si>
  <si>
    <t>裁剪面布*10（修边）</t>
  </si>
  <si>
    <t>裁剪面布*11（修边）</t>
  </si>
  <si>
    <t>面布分包*10</t>
  </si>
  <si>
    <t>面布分包*11</t>
  </si>
  <si>
    <t>手工</t>
  </si>
  <si>
    <t>验片/配补片*8</t>
  </si>
  <si>
    <t>手工打编号*10</t>
  </si>
  <si>
    <t>衬分大包*1</t>
  </si>
  <si>
    <t>中烫门襟贴衬*1</t>
  </si>
  <si>
    <t>中烫门襟贴衬*1（单片）</t>
  </si>
  <si>
    <t>中烫（气烫）</t>
  </si>
  <si>
    <t>烫后片标/撕标*1</t>
  </si>
  <si>
    <t>烫后片标/撕标*1（小标）一次4-6片</t>
  </si>
  <si>
    <t>压烫机</t>
  </si>
  <si>
    <t>下裁片</t>
  </si>
  <si>
    <t>2-领子</t>
  </si>
  <si>
    <t>蒸箱缩水罗纹领*1</t>
  </si>
  <si>
    <t>蒸箱</t>
  </si>
  <si>
    <t>E1</t>
  </si>
  <si>
    <t>蒸箱领织带缩水/米</t>
  </si>
  <si>
    <t>干燥房螺纹领祛湿</t>
  </si>
  <si>
    <t>干燥房收点螺纹领</t>
  </si>
  <si>
    <t>无针刀车实样修罗纹领多余止口*1</t>
  </si>
  <si>
    <t>无针切刀车实样对折修罗纹领多余止口*1</t>
  </si>
  <si>
    <t>无针切刀车</t>
  </si>
  <si>
    <t>手工对折点领三刀眼位*1</t>
  </si>
  <si>
    <t>实样归烫螺纹领连点位*7（台面订位）</t>
  </si>
  <si>
    <t>D3</t>
  </si>
  <si>
    <t>3-前片</t>
  </si>
  <si>
    <t>自动模版合门襟贴激光切止口*1</t>
  </si>
  <si>
    <t>自动模板运门襟贴连激光切止口及清理止口布*1（一个模板9件）不含机器时间</t>
  </si>
  <si>
    <t>全自动激光模板机</t>
  </si>
  <si>
    <t>刀车修多余止口*1</t>
  </si>
  <si>
    <t>刀车修门襟贴多余止口*1（此工序针对白色）待定工序</t>
  </si>
  <si>
    <t>D2</t>
  </si>
  <si>
    <t>手工翻内门襟*1</t>
  </si>
  <si>
    <t>手工翻内门襟*1（修门襟圆角）</t>
  </si>
  <si>
    <t>平车压内门襟贴边线*1</t>
  </si>
  <si>
    <t>电脑平车</t>
  </si>
  <si>
    <t>C4</t>
  </si>
  <si>
    <t>四线锁门筒*1</t>
  </si>
  <si>
    <t>电脑四线锁边车</t>
  </si>
  <si>
    <t>D1</t>
  </si>
  <si>
    <t>中烫烫缩前中拉链位*1</t>
  </si>
  <si>
    <t>中烫烫缩前中拉链位*1(裁片）</t>
  </si>
  <si>
    <t>手工模板落拉链保护贴连修拉链一边止口*1</t>
  </si>
  <si>
    <t>手工模板落拉链保护贴*1（一个模板5件）</t>
  </si>
  <si>
    <t>自动模板落门筒拉链</t>
  </si>
  <si>
    <t>全自动模板落门筒拉链底连激光开口*1（一个模板2件）不含机器时间</t>
  </si>
  <si>
    <t>C1</t>
  </si>
  <si>
    <t>平车上门筒拉链暗线*1</t>
  </si>
  <si>
    <t>平车上门筒拉链暗线*1(打刀口）</t>
  </si>
  <si>
    <t>B4</t>
  </si>
  <si>
    <t>全自动模板落前中拉链及保护贴*1（不含机器时间）同23、24、25工序</t>
  </si>
  <si>
    <t>平车落内门襟贴*1</t>
  </si>
  <si>
    <t>平车落内门襟贴*1（跟线）</t>
  </si>
  <si>
    <t>四线锁门襟底*1</t>
  </si>
  <si>
    <t>C3</t>
  </si>
  <si>
    <t>平车订门襟底锁边线*2</t>
  </si>
  <si>
    <t>平车压门筒三边明线*1</t>
  </si>
  <si>
    <t>B1</t>
  </si>
  <si>
    <t>四线合前公主缝2条*1</t>
  </si>
  <si>
    <t>三针五线冚前公主缝*2</t>
  </si>
  <si>
    <t>电脑三针五线冚车</t>
  </si>
  <si>
    <t>4-后片</t>
  </si>
  <si>
    <t>四线合后公主缝*2</t>
  </si>
  <si>
    <t>#四线合后公主缝*2</t>
  </si>
  <si>
    <t>三针五线冚公主缝*2</t>
  </si>
  <si>
    <t>5-组合</t>
  </si>
  <si>
    <t>回领织带/米</t>
  </si>
  <si>
    <t>挂片</t>
  </si>
  <si>
    <t>挂片/补换片/配包</t>
  </si>
  <si>
    <t>E4</t>
  </si>
  <si>
    <t>蒸箱蒸弹力线（个）</t>
  </si>
  <si>
    <t>四线合肩缝连落透明肩带*2</t>
  </si>
  <si>
    <t>#四线合肩缝连落透明肩带*2</t>
  </si>
  <si>
    <t>平车对位上领两头一段*1(此工序学生组）</t>
  </si>
  <si>
    <t>电脑四线对位上领*1</t>
  </si>
  <si>
    <t>#电脑四线对位上领*1</t>
  </si>
  <si>
    <t>B2</t>
  </si>
  <si>
    <t>平车拉筒拉后领织带连剪*1</t>
  </si>
  <si>
    <t>修剪拉链码带多余止口</t>
  </si>
  <si>
    <t>手工修剪拉链保护贴多余止口*1</t>
  </si>
  <si>
    <t>手工点后领中位*1</t>
  </si>
  <si>
    <t>平车压领捆条线连落主标*1</t>
  </si>
  <si>
    <t>#平车压领捆条线连落主标*1</t>
  </si>
  <si>
    <t>B3</t>
  </si>
  <si>
    <t>四线对位上开袖*2</t>
  </si>
  <si>
    <t>平车订侧缝洗水标*2</t>
  </si>
  <si>
    <t>平车订侧缝洗水标*2(车台定位)</t>
  </si>
  <si>
    <t>四线合侧缝及袖底缝*2</t>
  </si>
  <si>
    <t>冚车冚袖口双线*2</t>
  </si>
  <si>
    <t>电脑双针三线冚车</t>
  </si>
  <si>
    <t>冚车对骨冚下摆一周*1</t>
  </si>
  <si>
    <t>手工修剪下摆骨位多余止口*6*1</t>
  </si>
  <si>
    <t>中查</t>
  </si>
  <si>
    <t>检验</t>
  </si>
  <si>
    <t>6-尾部</t>
  </si>
  <si>
    <t>大烫</t>
  </si>
  <si>
    <t>整烫（尾部）</t>
  </si>
  <si>
    <t>尾查</t>
  </si>
  <si>
    <t>检验/剪线毛</t>
  </si>
  <si>
    <t>尾查（成品）</t>
  </si>
  <si>
    <t>分色/分码</t>
  </si>
  <si>
    <t>分PO</t>
  </si>
  <si>
    <t>查码</t>
  </si>
  <si>
    <t>手工穿挂打牌*1（打结）</t>
  </si>
  <si>
    <t>抢打条形尺码贴纸*1</t>
  </si>
  <si>
    <t>单件折叠</t>
  </si>
  <si>
    <t>包装搬运</t>
  </si>
  <si>
    <t>验针</t>
  </si>
  <si>
    <t>装箱前检查包装</t>
  </si>
  <si>
    <t>单件装自粘袋（放干燥剂）网单</t>
  </si>
  <si>
    <t>装箱36/件（拉纸箱、写箱号、封箱底、套胶袋、放天地板、放干燥剂、封箱、盖章、称重）</t>
  </si>
  <si>
    <t>拉箱入库</t>
  </si>
  <si>
    <t>制表人：赖菊       审核：　　　    　 审批：　        批准：                          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</si>
</sst>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_ "/>
    <numFmt numFmtId="165" formatCode="0_ 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4" fillId="3" borderId="1" xfId="0" applyFont="1" applyFill="1" applyBorder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9" fontId="1" fillId="0" borderId="2" xfId="0" applyNumberFormat="1" applyFont="1" applyBorder="1" applyAlignment="1">
      <alignment horizontal="left" vertical="center"/>
    </xf>
    <xf numFmtId="9" fontId="1" fillId="0" borderId="3" xfId="0" applyNumberFormat="1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44450</xdr:colOff>
      <xdr:row>0</xdr:row>
      <xdr:rowOff>0</xdr:rowOff>
    </xdr:from>
    <xdr:to>
      <xdr:col>12</xdr:col>
      <xdr:colOff>20637</xdr:colOff>
      <xdr:row>22</xdr:row>
      <xdr:rowOff>41275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26463" y="0"/>
          <a:ext cx="2547937" cy="267493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5"/>
  <sheetViews>
    <sheetView tabSelected="1" view="pageBreakPreview" zoomScaleNormal="100" workbookViewId="0">
      <selection activeCell="C77" sqref="C77"/>
    </sheetView>
  </sheetViews>
  <sheetFormatPr defaultColWidth="9" defaultRowHeight="13.15"/>
  <cols>
    <col min="1" max="1" width="9.59765625" style="1" customWidth="1"/>
    <col min="2" max="2" width="30.59765625" style="1" customWidth="1"/>
    <col min="3" max="3" width="29.86328125" style="1" customWidth="1"/>
    <col min="4" max="4" width="13.73046875" style="2" customWidth="1"/>
    <col min="5" max="8" width="8.73046875" style="1" customWidth="1"/>
    <col min="9" max="98" width="9" style="1"/>
    <col min="99" max="99" width="48.59765625" style="1" customWidth="1"/>
    <col min="100" max="16384" width="9" style="1"/>
  </cols>
  <sheetData>
    <row r="1" spans="1:99" ht="25.5">
      <c r="A1" s="30" t="s">
        <v>0</v>
      </c>
      <c r="B1" s="30"/>
      <c r="C1" s="30"/>
      <c r="D1" s="31"/>
      <c r="E1" s="30"/>
      <c r="F1" s="30"/>
      <c r="G1" s="30"/>
      <c r="H1" s="30"/>
    </row>
    <row r="2" spans="1:99" ht="21">
      <c r="A2" s="32" t="s">
        <v>1</v>
      </c>
      <c r="B2" s="32"/>
      <c r="C2" s="32"/>
      <c r="D2" s="33"/>
      <c r="E2" s="32"/>
      <c r="F2" s="32"/>
      <c r="G2" s="32"/>
      <c r="H2" s="32"/>
    </row>
    <row r="3" spans="1:99">
      <c r="A3" s="34" t="s">
        <v>2</v>
      </c>
      <c r="B3" s="34"/>
      <c r="C3" s="34"/>
      <c r="D3" s="35"/>
      <c r="E3" s="34"/>
      <c r="F3" s="34"/>
      <c r="G3" s="34"/>
      <c r="H3" s="34"/>
    </row>
    <row r="4" spans="1:99">
      <c r="A4" s="3" t="s">
        <v>3</v>
      </c>
      <c r="B4" s="27" t="s">
        <v>4</v>
      </c>
      <c r="C4" s="28"/>
      <c r="D4" s="28"/>
      <c r="E4" s="29"/>
      <c r="F4" s="23"/>
      <c r="G4" s="23"/>
      <c r="H4" s="23"/>
    </row>
    <row r="5" spans="1:99">
      <c r="A5" s="3" t="s">
        <v>5</v>
      </c>
      <c r="B5" s="17" t="s">
        <v>6</v>
      </c>
      <c r="C5" s="18"/>
      <c r="D5" s="18"/>
      <c r="E5" s="19"/>
      <c r="F5" s="23"/>
      <c r="G5" s="23"/>
      <c r="H5" s="23"/>
    </row>
    <row r="6" spans="1:99">
      <c r="A6" s="3" t="s">
        <v>7</v>
      </c>
      <c r="B6" s="27" t="s">
        <v>4</v>
      </c>
      <c r="C6" s="28"/>
      <c r="D6" s="28"/>
      <c r="E6" s="29"/>
      <c r="F6" s="23"/>
      <c r="G6" s="23"/>
      <c r="H6" s="23"/>
    </row>
    <row r="7" spans="1:99" ht="12" customHeight="1">
      <c r="A7" s="3" t="s">
        <v>8</v>
      </c>
      <c r="B7" s="20" t="s">
        <v>9</v>
      </c>
      <c r="C7" s="21"/>
      <c r="D7" s="21"/>
      <c r="E7" s="22"/>
      <c r="F7" s="23"/>
      <c r="G7" s="23"/>
      <c r="H7" s="23"/>
      <c r="CU7" s="2"/>
    </row>
    <row r="8" spans="1:99" ht="12" customHeight="1">
      <c r="A8" s="3" t="s">
        <v>10</v>
      </c>
      <c r="B8" s="20"/>
      <c r="C8" s="21"/>
      <c r="D8" s="21"/>
      <c r="E8" s="22"/>
      <c r="F8" s="23"/>
      <c r="G8" s="23"/>
      <c r="H8" s="23"/>
      <c r="CU8" s="2"/>
    </row>
    <row r="9" spans="1:99">
      <c r="A9" s="3" t="s">
        <v>11</v>
      </c>
      <c r="B9" s="17">
        <v>120000</v>
      </c>
      <c r="C9" s="18"/>
      <c r="D9" s="18"/>
      <c r="E9" s="19"/>
      <c r="F9" s="23"/>
      <c r="G9" s="23"/>
      <c r="H9" s="23"/>
    </row>
    <row r="10" spans="1:99">
      <c r="A10" s="5" t="s">
        <v>12</v>
      </c>
      <c r="B10" s="17">
        <f>SUM(F39:F56,F60:F70)</f>
        <v>531.9</v>
      </c>
      <c r="C10" s="18"/>
      <c r="D10" s="18"/>
      <c r="E10" s="19"/>
      <c r="F10" s="23"/>
      <c r="G10" s="23"/>
      <c r="H10" s="23"/>
    </row>
    <row r="11" spans="1:99" ht="19.05" customHeight="1">
      <c r="A11" s="5" t="s">
        <v>13</v>
      </c>
      <c r="B11" s="17">
        <f>37800/B10</f>
        <v>71.065989847715798</v>
      </c>
      <c r="C11" s="18"/>
      <c r="D11" s="18"/>
      <c r="E11" s="19"/>
      <c r="F11" s="23"/>
      <c r="G11" s="23"/>
      <c r="H11" s="23"/>
    </row>
    <row r="12" spans="1:99" hidden="1">
      <c r="A12" s="3" t="s">
        <v>14</v>
      </c>
      <c r="B12" s="17"/>
      <c r="C12" s="18"/>
      <c r="D12" s="18"/>
      <c r="E12" s="19"/>
      <c r="F12" s="23"/>
      <c r="G12" s="23"/>
      <c r="H12" s="23"/>
    </row>
    <row r="13" spans="1:99" hidden="1">
      <c r="A13" s="3" t="s">
        <v>15</v>
      </c>
      <c r="B13" s="24"/>
      <c r="C13" s="25"/>
      <c r="D13" s="25"/>
      <c r="E13" s="26"/>
      <c r="F13" s="23"/>
      <c r="G13" s="23"/>
      <c r="H13" s="23"/>
    </row>
    <row r="14" spans="1:99" ht="26.25" hidden="1">
      <c r="A14" s="5" t="s">
        <v>16</v>
      </c>
      <c r="B14" s="17"/>
      <c r="C14" s="18"/>
      <c r="D14" s="18"/>
      <c r="E14" s="19"/>
      <c r="F14" s="23"/>
      <c r="G14" s="23"/>
      <c r="H14" s="23"/>
    </row>
    <row r="15" spans="1:99" ht="26.25" hidden="1">
      <c r="A15" s="5" t="s">
        <v>17</v>
      </c>
      <c r="B15" s="17"/>
      <c r="C15" s="18"/>
      <c r="D15" s="18"/>
      <c r="E15" s="19"/>
      <c r="F15" s="23"/>
      <c r="G15" s="23"/>
      <c r="H15" s="23"/>
    </row>
    <row r="16" spans="1:99" ht="26.25" hidden="1">
      <c r="A16" s="5" t="s">
        <v>18</v>
      </c>
      <c r="B16" s="17"/>
      <c r="C16" s="18"/>
      <c r="D16" s="18"/>
      <c r="E16" s="19"/>
      <c r="F16" s="23"/>
      <c r="G16" s="23"/>
      <c r="H16" s="23"/>
    </row>
    <row r="17" spans="1:99" hidden="1">
      <c r="A17" s="5" t="s">
        <v>19</v>
      </c>
      <c r="B17" s="17"/>
      <c r="C17" s="18"/>
      <c r="D17" s="18"/>
      <c r="E17" s="19"/>
      <c r="F17" s="23"/>
      <c r="G17" s="23"/>
      <c r="H17" s="23"/>
    </row>
    <row r="18" spans="1:99" ht="12" hidden="1" customHeight="1">
      <c r="A18" s="3" t="s">
        <v>20</v>
      </c>
      <c r="B18" s="20"/>
      <c r="C18" s="21"/>
      <c r="D18" s="21"/>
      <c r="E18" s="22"/>
      <c r="F18" s="23"/>
      <c r="G18" s="23"/>
      <c r="H18" s="23"/>
      <c r="CU18" s="2"/>
    </row>
    <row r="19" spans="1:99" hidden="1">
      <c r="A19" s="3" t="s">
        <v>21</v>
      </c>
      <c r="B19" s="17"/>
      <c r="C19" s="18"/>
      <c r="D19" s="18"/>
      <c r="E19" s="19"/>
      <c r="F19" s="23"/>
      <c r="G19" s="23"/>
      <c r="H19" s="23"/>
    </row>
    <row r="20" spans="1:99">
      <c r="A20" s="6" t="s">
        <v>22</v>
      </c>
      <c r="B20" s="6" t="s">
        <v>23</v>
      </c>
      <c r="C20" s="6" t="s">
        <v>23</v>
      </c>
      <c r="D20" s="6" t="s">
        <v>24</v>
      </c>
      <c r="E20" s="6" t="s">
        <v>25</v>
      </c>
      <c r="F20" s="6" t="s">
        <v>26</v>
      </c>
      <c r="G20" s="6" t="s">
        <v>27</v>
      </c>
      <c r="H20" s="6" t="s">
        <v>28</v>
      </c>
    </row>
    <row r="21" spans="1:99">
      <c r="A21" s="7"/>
      <c r="B21" s="8" t="s">
        <v>29</v>
      </c>
      <c r="C21" s="3" t="s">
        <v>29</v>
      </c>
      <c r="D21" s="3"/>
      <c r="E21" s="3"/>
      <c r="F21" s="3"/>
      <c r="G21" s="3"/>
      <c r="H21" s="3"/>
    </row>
    <row r="22" spans="1:99">
      <c r="A22" s="9">
        <v>301</v>
      </c>
      <c r="B22" s="8" t="s">
        <v>30</v>
      </c>
      <c r="C22" s="10" t="s">
        <v>31</v>
      </c>
      <c r="D22" s="10" t="s">
        <v>32</v>
      </c>
      <c r="E22" s="11">
        <v>4.3</v>
      </c>
      <c r="F22" s="11">
        <v>4.9000000000000004</v>
      </c>
      <c r="G22" s="12" t="s">
        <v>33</v>
      </c>
      <c r="H22" s="13">
        <v>735</v>
      </c>
    </row>
    <row r="23" spans="1:99">
      <c r="A23" s="9">
        <v>302</v>
      </c>
      <c r="B23" s="8" t="s">
        <v>34</v>
      </c>
      <c r="C23" s="10" t="s">
        <v>35</v>
      </c>
      <c r="D23" s="10" t="s">
        <v>36</v>
      </c>
      <c r="E23" s="11">
        <v>8.1999999999999993</v>
      </c>
      <c r="F23" s="11">
        <v>9.3000000000000007</v>
      </c>
      <c r="G23" s="12" t="s">
        <v>37</v>
      </c>
      <c r="H23" s="13">
        <v>387</v>
      </c>
    </row>
    <row r="24" spans="1:99">
      <c r="A24" s="9">
        <v>303</v>
      </c>
      <c r="B24" s="8" t="s">
        <v>38</v>
      </c>
      <c r="C24" s="10" t="s">
        <v>39</v>
      </c>
      <c r="D24" s="10" t="s">
        <v>36</v>
      </c>
      <c r="E24" s="11">
        <v>0.1</v>
      </c>
      <c r="F24" s="11">
        <v>0.2</v>
      </c>
      <c r="G24" s="12" t="s">
        <v>33</v>
      </c>
      <c r="H24" s="13">
        <v>18000</v>
      </c>
    </row>
    <row r="25" spans="1:99">
      <c r="A25" s="9">
        <v>304</v>
      </c>
      <c r="B25" s="8" t="s">
        <v>40</v>
      </c>
      <c r="C25" s="10" t="s">
        <v>40</v>
      </c>
      <c r="D25" s="10" t="s">
        <v>41</v>
      </c>
      <c r="E25" s="11">
        <v>1</v>
      </c>
      <c r="F25" s="11">
        <v>1</v>
      </c>
      <c r="G25" s="12" t="s">
        <v>42</v>
      </c>
      <c r="H25" s="13">
        <v>3600</v>
      </c>
    </row>
    <row r="26" spans="1:99">
      <c r="A26" s="9">
        <v>305</v>
      </c>
      <c r="B26" s="8" t="s">
        <v>43</v>
      </c>
      <c r="C26" s="10" t="s">
        <v>44</v>
      </c>
      <c r="D26" s="10" t="s">
        <v>41</v>
      </c>
      <c r="E26" s="11">
        <v>13.8</v>
      </c>
      <c r="F26" s="11">
        <v>13.8</v>
      </c>
      <c r="G26" s="12" t="s">
        <v>42</v>
      </c>
      <c r="H26" s="13">
        <v>261</v>
      </c>
    </row>
    <row r="27" spans="1:99">
      <c r="A27" s="9">
        <v>5</v>
      </c>
      <c r="B27" s="8" t="s">
        <v>45</v>
      </c>
      <c r="C27" s="10" t="s">
        <v>46</v>
      </c>
      <c r="D27" s="10" t="s">
        <v>47</v>
      </c>
      <c r="E27" s="11">
        <v>12.7</v>
      </c>
      <c r="F27" s="11">
        <v>14</v>
      </c>
      <c r="G27" s="12" t="s">
        <v>33</v>
      </c>
      <c r="H27" s="13">
        <v>257</v>
      </c>
    </row>
    <row r="28" spans="1:99">
      <c r="A28" s="9">
        <v>170</v>
      </c>
      <c r="B28" s="8" t="s">
        <v>48</v>
      </c>
      <c r="C28" s="10" t="s">
        <v>48</v>
      </c>
      <c r="D28" s="10" t="s">
        <v>47</v>
      </c>
      <c r="E28" s="11">
        <v>18.3</v>
      </c>
      <c r="F28" s="11">
        <v>20.2</v>
      </c>
      <c r="G28" s="12" t="s">
        <v>37</v>
      </c>
      <c r="H28" s="13">
        <v>178</v>
      </c>
    </row>
    <row r="29" spans="1:99">
      <c r="A29" s="9">
        <v>16</v>
      </c>
      <c r="B29" s="8" t="s">
        <v>49</v>
      </c>
      <c r="C29" s="10" t="s">
        <v>49</v>
      </c>
      <c r="D29" s="10" t="s">
        <v>47</v>
      </c>
      <c r="E29" s="11">
        <v>14.3</v>
      </c>
      <c r="F29" s="11">
        <v>15.8</v>
      </c>
      <c r="G29" s="12" t="s">
        <v>33</v>
      </c>
      <c r="H29" s="13">
        <v>228</v>
      </c>
    </row>
    <row r="30" spans="1:99">
      <c r="A30" s="9">
        <v>1</v>
      </c>
      <c r="B30" s="8" t="s">
        <v>50</v>
      </c>
      <c r="C30" s="10" t="s">
        <v>50</v>
      </c>
      <c r="D30" s="10" t="s">
        <v>47</v>
      </c>
      <c r="E30" s="11">
        <v>0.4</v>
      </c>
      <c r="F30" s="11">
        <v>0.5</v>
      </c>
      <c r="G30" s="12" t="s">
        <v>33</v>
      </c>
      <c r="H30" s="13">
        <v>7200</v>
      </c>
    </row>
    <row r="31" spans="1:99">
      <c r="A31" s="9">
        <v>14</v>
      </c>
      <c r="B31" s="8" t="s">
        <v>51</v>
      </c>
      <c r="C31" s="10" t="s">
        <v>52</v>
      </c>
      <c r="D31" s="10" t="s">
        <v>53</v>
      </c>
      <c r="E31" s="11">
        <v>5.8</v>
      </c>
      <c r="F31" s="11">
        <v>6.5</v>
      </c>
      <c r="G31" s="12" t="s">
        <v>33</v>
      </c>
      <c r="H31" s="13">
        <v>554</v>
      </c>
    </row>
    <row r="32" spans="1:99">
      <c r="A32" s="9">
        <v>54</v>
      </c>
      <c r="B32" s="8" t="s">
        <v>54</v>
      </c>
      <c r="C32" s="4" t="s">
        <v>55</v>
      </c>
      <c r="D32" s="14" t="s">
        <v>56</v>
      </c>
      <c r="E32" s="4">
        <v>14</v>
      </c>
      <c r="F32" s="4">
        <v>15.8</v>
      </c>
      <c r="G32" s="4" t="s">
        <v>33</v>
      </c>
      <c r="H32" s="4">
        <v>228</v>
      </c>
    </row>
    <row r="33" spans="1:8">
      <c r="A33" s="9">
        <v>11</v>
      </c>
      <c r="B33" s="8" t="s">
        <v>57</v>
      </c>
      <c r="C33" s="4"/>
      <c r="D33" s="14"/>
      <c r="E33" s="4"/>
      <c r="F33" s="4"/>
      <c r="G33" s="4"/>
      <c r="H33" s="4"/>
    </row>
    <row r="34" spans="1:8">
      <c r="A34" s="7"/>
      <c r="B34" s="15" t="s">
        <v>58</v>
      </c>
      <c r="C34" s="4" t="s">
        <v>58</v>
      </c>
      <c r="D34" s="14"/>
      <c r="E34" s="4"/>
      <c r="F34" s="4"/>
      <c r="G34" s="4"/>
      <c r="H34" s="13">
        <v>2571</v>
      </c>
    </row>
    <row r="35" spans="1:8">
      <c r="A35" s="9"/>
      <c r="B35" s="16" t="s">
        <v>59</v>
      </c>
      <c r="C35" s="10" t="s">
        <v>59</v>
      </c>
      <c r="D35" s="10" t="s">
        <v>60</v>
      </c>
      <c r="E35" s="11">
        <v>1.4</v>
      </c>
      <c r="F35" s="11">
        <v>1.4</v>
      </c>
      <c r="G35" s="12" t="s">
        <v>61</v>
      </c>
      <c r="H35" s="13">
        <v>9000</v>
      </c>
    </row>
    <row r="36" spans="1:8">
      <c r="A36" s="9"/>
      <c r="B36" s="16" t="s">
        <v>62</v>
      </c>
      <c r="C36" s="10" t="s">
        <v>62</v>
      </c>
      <c r="D36" s="10" t="s">
        <v>60</v>
      </c>
      <c r="E36" s="11">
        <v>0.4</v>
      </c>
      <c r="F36" s="11">
        <v>0.4</v>
      </c>
      <c r="G36" s="12" t="s">
        <v>61</v>
      </c>
      <c r="H36" s="13">
        <v>3600</v>
      </c>
    </row>
    <row r="37" spans="1:8">
      <c r="A37" s="9"/>
      <c r="B37" s="16" t="s">
        <v>63</v>
      </c>
      <c r="C37" s="10" t="s">
        <v>63</v>
      </c>
      <c r="D37" s="10" t="s">
        <v>47</v>
      </c>
      <c r="E37" s="11">
        <v>0.9</v>
      </c>
      <c r="F37" s="11">
        <v>1</v>
      </c>
      <c r="G37" s="12" t="s">
        <v>61</v>
      </c>
      <c r="H37" s="13">
        <v>3600</v>
      </c>
    </row>
    <row r="38" spans="1:8">
      <c r="A38" s="9"/>
      <c r="B38" s="16" t="s">
        <v>64</v>
      </c>
      <c r="C38" s="10" t="s">
        <v>64</v>
      </c>
      <c r="D38" s="10" t="s">
        <v>47</v>
      </c>
      <c r="E38" s="11">
        <v>0.9</v>
      </c>
      <c r="F38" s="11">
        <v>1</v>
      </c>
      <c r="G38" s="12" t="s">
        <v>61</v>
      </c>
      <c r="H38" s="13">
        <v>217</v>
      </c>
    </row>
    <row r="39" spans="1:8" ht="26.25">
      <c r="A39" s="9">
        <v>23</v>
      </c>
      <c r="B39" s="16" t="s">
        <v>65</v>
      </c>
      <c r="C39" s="10" t="s">
        <v>66</v>
      </c>
      <c r="D39" s="10" t="s">
        <v>67</v>
      </c>
      <c r="E39" s="11">
        <v>14.9</v>
      </c>
      <c r="F39" s="11">
        <v>16.600000000000001</v>
      </c>
      <c r="G39" s="12" t="s">
        <v>42</v>
      </c>
      <c r="H39" s="13">
        <v>0</v>
      </c>
    </row>
    <row r="40" spans="1:8">
      <c r="A40" s="9">
        <v>24</v>
      </c>
      <c r="B40" s="16" t="s">
        <v>68</v>
      </c>
      <c r="C40" s="4" t="s">
        <v>69</v>
      </c>
      <c r="D40" s="14" t="s">
        <v>53</v>
      </c>
      <c r="E40" s="4">
        <v>21.2</v>
      </c>
      <c r="F40" s="4">
        <v>23.8</v>
      </c>
      <c r="G40" s="4" t="s">
        <v>70</v>
      </c>
      <c r="H40" s="13"/>
    </row>
    <row r="41" spans="1:8">
      <c r="A41" s="7"/>
      <c r="B41" s="15" t="s">
        <v>71</v>
      </c>
      <c r="C41" s="10" t="s">
        <v>71</v>
      </c>
      <c r="D41" s="10"/>
      <c r="E41" s="11"/>
      <c r="F41" s="11"/>
      <c r="G41" s="12"/>
      <c r="H41" s="13">
        <v>105</v>
      </c>
    </row>
    <row r="42" spans="1:8" ht="39.4">
      <c r="A42" s="9">
        <v>25</v>
      </c>
      <c r="B42" s="16" t="s">
        <v>72</v>
      </c>
      <c r="C42" s="10" t="s">
        <v>73</v>
      </c>
      <c r="D42" s="10" t="s">
        <v>74</v>
      </c>
      <c r="E42" s="11">
        <v>31.1</v>
      </c>
      <c r="F42" s="11">
        <v>34.4</v>
      </c>
      <c r="G42" s="12" t="s">
        <v>42</v>
      </c>
      <c r="H42" s="13">
        <v>0</v>
      </c>
    </row>
    <row r="43" spans="1:8" ht="26.25">
      <c r="A43" s="9">
        <v>26</v>
      </c>
      <c r="B43" s="16" t="s">
        <v>75</v>
      </c>
      <c r="C43" s="10" t="s">
        <v>76</v>
      </c>
      <c r="D43" s="10" t="s">
        <v>67</v>
      </c>
      <c r="E43" s="11">
        <v>0</v>
      </c>
      <c r="F43" s="11">
        <v>0</v>
      </c>
      <c r="G43" s="12" t="s">
        <v>77</v>
      </c>
      <c r="H43" s="13">
        <v>364</v>
      </c>
    </row>
    <row r="44" spans="1:8">
      <c r="A44" s="9">
        <v>28</v>
      </c>
      <c r="B44" s="16" t="s">
        <v>78</v>
      </c>
      <c r="C44" s="10" t="s">
        <v>79</v>
      </c>
      <c r="D44" s="10" t="s">
        <v>47</v>
      </c>
      <c r="E44" s="11">
        <v>8.9</v>
      </c>
      <c r="F44" s="11">
        <v>9.9</v>
      </c>
      <c r="G44" s="12" t="s">
        <v>33</v>
      </c>
      <c r="H44" s="13">
        <v>229</v>
      </c>
    </row>
    <row r="45" spans="1:8">
      <c r="A45" s="9">
        <v>29</v>
      </c>
      <c r="B45" s="16" t="s">
        <v>80</v>
      </c>
      <c r="C45" s="10" t="s">
        <v>80</v>
      </c>
      <c r="D45" s="10" t="s">
        <v>81</v>
      </c>
      <c r="E45" s="11">
        <v>13.9</v>
      </c>
      <c r="F45" s="11">
        <v>15.7</v>
      </c>
      <c r="G45" s="12" t="s">
        <v>82</v>
      </c>
      <c r="H45" s="13">
        <v>0</v>
      </c>
    </row>
    <row r="46" spans="1:8">
      <c r="A46" s="9">
        <v>30</v>
      </c>
      <c r="B46" s="16" t="s">
        <v>83</v>
      </c>
      <c r="C46" s="10" t="s">
        <v>83</v>
      </c>
      <c r="D46" s="10" t="s">
        <v>84</v>
      </c>
      <c r="E46" s="11">
        <v>6.2</v>
      </c>
      <c r="F46" s="11">
        <v>6.9</v>
      </c>
      <c r="G46" s="12" t="s">
        <v>85</v>
      </c>
      <c r="H46" s="13">
        <v>493</v>
      </c>
    </row>
    <row r="47" spans="1:8">
      <c r="A47" s="9">
        <v>36</v>
      </c>
      <c r="B47" s="16" t="s">
        <v>86</v>
      </c>
      <c r="C47" s="10" t="s">
        <v>87</v>
      </c>
      <c r="D47" s="10" t="s">
        <v>53</v>
      </c>
      <c r="E47" s="11">
        <v>6.5</v>
      </c>
      <c r="F47" s="11">
        <v>7.3</v>
      </c>
      <c r="G47" s="12" t="s">
        <v>85</v>
      </c>
      <c r="H47" s="13">
        <v>248</v>
      </c>
    </row>
    <row r="48" spans="1:8" ht="26.25">
      <c r="A48" s="9">
        <v>37</v>
      </c>
      <c r="B48" s="16" t="s">
        <v>88</v>
      </c>
      <c r="C48" s="10" t="s">
        <v>89</v>
      </c>
      <c r="D48" s="10" t="s">
        <v>81</v>
      </c>
      <c r="E48" s="11">
        <v>13</v>
      </c>
      <c r="F48" s="11">
        <v>14.5</v>
      </c>
      <c r="G48" s="12" t="s">
        <v>42</v>
      </c>
      <c r="H48" s="13">
        <v>151</v>
      </c>
    </row>
    <row r="49" spans="1:8" ht="26.25">
      <c r="A49" s="9">
        <v>38</v>
      </c>
      <c r="B49" s="16" t="s">
        <v>90</v>
      </c>
      <c r="C49" s="10" t="s">
        <v>91</v>
      </c>
      <c r="D49" s="10" t="s">
        <v>74</v>
      </c>
      <c r="E49" s="11">
        <v>21.6</v>
      </c>
      <c r="F49" s="11">
        <v>23.9</v>
      </c>
      <c r="G49" s="12" t="s">
        <v>92</v>
      </c>
      <c r="H49" s="13">
        <v>69</v>
      </c>
    </row>
    <row r="50" spans="1:8">
      <c r="A50" s="9">
        <v>39</v>
      </c>
      <c r="B50" s="16" t="s">
        <v>93</v>
      </c>
      <c r="C50" s="10" t="s">
        <v>94</v>
      </c>
      <c r="D50" s="10" t="s">
        <v>81</v>
      </c>
      <c r="E50" s="11">
        <v>44.3</v>
      </c>
      <c r="F50" s="11">
        <v>52.4</v>
      </c>
      <c r="G50" s="12" t="s">
        <v>95</v>
      </c>
      <c r="H50" s="13">
        <v>77</v>
      </c>
    </row>
    <row r="51" spans="1:8" ht="26.25">
      <c r="A51" s="9"/>
      <c r="B51" s="16"/>
      <c r="C51" s="10" t="s">
        <v>96</v>
      </c>
      <c r="D51" s="10" t="s">
        <v>74</v>
      </c>
      <c r="E51" s="11">
        <v>42.1</v>
      </c>
      <c r="F51" s="11">
        <v>46.5</v>
      </c>
      <c r="G51" s="12" t="s">
        <v>82</v>
      </c>
      <c r="H51" s="13">
        <v>229</v>
      </c>
    </row>
    <row r="52" spans="1:8">
      <c r="A52" s="9">
        <v>41</v>
      </c>
      <c r="B52" s="16" t="s">
        <v>97</v>
      </c>
      <c r="C52" s="10" t="s">
        <v>98</v>
      </c>
      <c r="D52" s="10" t="s">
        <v>81</v>
      </c>
      <c r="E52" s="11">
        <v>14</v>
      </c>
      <c r="F52" s="11">
        <v>15.7</v>
      </c>
      <c r="G52" s="12" t="s">
        <v>95</v>
      </c>
      <c r="H52" s="13">
        <v>522</v>
      </c>
    </row>
    <row r="53" spans="1:8">
      <c r="A53" s="9">
        <v>42</v>
      </c>
      <c r="B53" s="16" t="s">
        <v>99</v>
      </c>
      <c r="C53" s="10" t="s">
        <v>99</v>
      </c>
      <c r="D53" s="10" t="s">
        <v>84</v>
      </c>
      <c r="E53" s="11">
        <v>6.2</v>
      </c>
      <c r="F53" s="11">
        <v>6.9</v>
      </c>
      <c r="G53" s="12" t="s">
        <v>100</v>
      </c>
      <c r="H53" s="4">
        <v>254</v>
      </c>
    </row>
    <row r="54" spans="1:8">
      <c r="A54" s="9">
        <v>43</v>
      </c>
      <c r="B54" s="16" t="s">
        <v>101</v>
      </c>
      <c r="C54" s="4" t="s">
        <v>101</v>
      </c>
      <c r="D54" s="14" t="s">
        <v>81</v>
      </c>
      <c r="E54" s="4">
        <v>12.8</v>
      </c>
      <c r="F54" s="4">
        <v>14.2</v>
      </c>
      <c r="G54" s="4" t="s">
        <v>42</v>
      </c>
      <c r="H54" s="13">
        <v>88</v>
      </c>
    </row>
    <row r="55" spans="1:8">
      <c r="A55" s="9">
        <v>44</v>
      </c>
      <c r="B55" s="16" t="s">
        <v>102</v>
      </c>
      <c r="C55" s="10" t="s">
        <v>102</v>
      </c>
      <c r="D55" s="10" t="s">
        <v>81</v>
      </c>
      <c r="E55" s="11">
        <v>36.1</v>
      </c>
      <c r="F55" s="11">
        <v>40.9</v>
      </c>
      <c r="G55" s="12" t="s">
        <v>103</v>
      </c>
      <c r="H55" s="13">
        <v>113</v>
      </c>
    </row>
    <row r="56" spans="1:8">
      <c r="A56" s="9">
        <v>45</v>
      </c>
      <c r="B56" s="16" t="s">
        <v>104</v>
      </c>
      <c r="C56" s="10" t="s">
        <v>104</v>
      </c>
      <c r="D56" s="10" t="s">
        <v>84</v>
      </c>
      <c r="E56" s="11">
        <v>28.5</v>
      </c>
      <c r="F56" s="11">
        <v>32</v>
      </c>
      <c r="G56" s="12" t="s">
        <v>82</v>
      </c>
      <c r="H56" s="4">
        <v>114</v>
      </c>
    </row>
    <row r="57" spans="1:8" ht="26.25">
      <c r="A57" s="9">
        <v>46</v>
      </c>
      <c r="B57" s="16" t="s">
        <v>105</v>
      </c>
      <c r="C57" s="4" t="s">
        <v>105</v>
      </c>
      <c r="D57" s="14" t="s">
        <v>106</v>
      </c>
      <c r="E57" s="4">
        <v>27.7</v>
      </c>
      <c r="F57" s="4">
        <v>31.5</v>
      </c>
      <c r="G57" s="4" t="s">
        <v>82</v>
      </c>
      <c r="H57" s="13"/>
    </row>
    <row r="58" spans="1:8">
      <c r="A58" s="7"/>
      <c r="B58" s="15" t="s">
        <v>107</v>
      </c>
      <c r="C58" s="10" t="s">
        <v>107</v>
      </c>
      <c r="D58" s="10"/>
      <c r="E58" s="11"/>
      <c r="F58" s="11"/>
      <c r="G58" s="12"/>
      <c r="H58" s="13">
        <v>115</v>
      </c>
    </row>
    <row r="59" spans="1:8">
      <c r="A59" s="9">
        <v>47</v>
      </c>
      <c r="B59" s="16" t="s">
        <v>108</v>
      </c>
      <c r="C59" s="10" t="s">
        <v>109</v>
      </c>
      <c r="D59" s="10" t="s">
        <v>84</v>
      </c>
      <c r="E59" s="11">
        <v>27.9</v>
      </c>
      <c r="F59" s="11">
        <v>31.4</v>
      </c>
      <c r="G59" s="12" t="s">
        <v>82</v>
      </c>
      <c r="H59" s="13">
        <v>116</v>
      </c>
    </row>
    <row r="60" spans="1:8" ht="26.25">
      <c r="A60" s="9">
        <v>48</v>
      </c>
      <c r="B60" s="16" t="s">
        <v>110</v>
      </c>
      <c r="C60" s="10" t="s">
        <v>110</v>
      </c>
      <c r="D60" s="10" t="s">
        <v>106</v>
      </c>
      <c r="E60" s="11">
        <v>27.3</v>
      </c>
      <c r="F60" s="11">
        <v>31</v>
      </c>
      <c r="G60" s="12" t="s">
        <v>82</v>
      </c>
      <c r="H60" s="13"/>
    </row>
    <row r="61" spans="1:8">
      <c r="A61" s="7"/>
      <c r="B61" s="15" t="s">
        <v>111</v>
      </c>
      <c r="C61" s="10" t="s">
        <v>111</v>
      </c>
      <c r="D61" s="10"/>
      <c r="E61" s="11"/>
      <c r="F61" s="11"/>
      <c r="G61" s="12"/>
      <c r="H61" s="13">
        <v>818</v>
      </c>
    </row>
    <row r="62" spans="1:8">
      <c r="A62" s="7"/>
      <c r="B62" s="15"/>
      <c r="C62" s="10" t="s">
        <v>112</v>
      </c>
      <c r="D62" s="10" t="s">
        <v>47</v>
      </c>
      <c r="E62" s="11">
        <v>4</v>
      </c>
      <c r="F62" s="11">
        <v>4.4000000000000004</v>
      </c>
      <c r="G62" s="12" t="s">
        <v>61</v>
      </c>
      <c r="H62" s="13">
        <v>139</v>
      </c>
    </row>
    <row r="63" spans="1:8">
      <c r="A63" s="9">
        <v>27</v>
      </c>
      <c r="B63" s="16" t="s">
        <v>113</v>
      </c>
      <c r="C63" s="10" t="s">
        <v>114</v>
      </c>
      <c r="D63" s="10" t="s">
        <v>47</v>
      </c>
      <c r="E63" s="11">
        <v>23.4</v>
      </c>
      <c r="F63" s="11">
        <v>25.9</v>
      </c>
      <c r="G63" s="12" t="s">
        <v>115</v>
      </c>
      <c r="H63" s="13">
        <v>600</v>
      </c>
    </row>
    <row r="64" spans="1:8">
      <c r="A64" s="9"/>
      <c r="B64" s="16" t="s">
        <v>116</v>
      </c>
      <c r="C64" s="10" t="s">
        <v>116</v>
      </c>
      <c r="D64" s="10" t="s">
        <v>60</v>
      </c>
      <c r="E64" s="11">
        <v>6</v>
      </c>
      <c r="F64" s="11">
        <v>6</v>
      </c>
      <c r="G64" s="12" t="s">
        <v>61</v>
      </c>
      <c r="H64" s="13">
        <v>209</v>
      </c>
    </row>
    <row r="65" spans="1:8">
      <c r="A65" s="9">
        <v>49</v>
      </c>
      <c r="B65" s="16" t="s">
        <v>117</v>
      </c>
      <c r="C65" s="10" t="s">
        <v>118</v>
      </c>
      <c r="D65" s="10" t="s">
        <v>84</v>
      </c>
      <c r="E65" s="11">
        <v>15.4</v>
      </c>
      <c r="F65" s="11">
        <v>17.2</v>
      </c>
      <c r="G65" s="12" t="s">
        <v>92</v>
      </c>
      <c r="H65" s="13">
        <v>151</v>
      </c>
    </row>
    <row r="66" spans="1:8" ht="26.25">
      <c r="A66" s="9"/>
      <c r="B66" s="16"/>
      <c r="C66" s="10" t="s">
        <v>119</v>
      </c>
      <c r="D66" s="10" t="s">
        <v>81</v>
      </c>
      <c r="E66" s="11">
        <v>21.4</v>
      </c>
      <c r="F66" s="11">
        <v>23.9</v>
      </c>
      <c r="G66" s="12" t="s">
        <v>103</v>
      </c>
      <c r="H66" s="13">
        <v>121</v>
      </c>
    </row>
    <row r="67" spans="1:8">
      <c r="A67" s="9">
        <v>50</v>
      </c>
      <c r="B67" s="16" t="s">
        <v>120</v>
      </c>
      <c r="C67" s="10" t="s">
        <v>121</v>
      </c>
      <c r="D67" s="10" t="s">
        <v>84</v>
      </c>
      <c r="E67" s="11">
        <v>26.6</v>
      </c>
      <c r="F67" s="11">
        <v>29.7</v>
      </c>
      <c r="G67" s="12" t="s">
        <v>122</v>
      </c>
      <c r="H67" s="13">
        <v>177</v>
      </c>
    </row>
    <row r="68" spans="1:8">
      <c r="A68" s="9">
        <v>51</v>
      </c>
      <c r="B68" s="16" t="s">
        <v>123</v>
      </c>
      <c r="C68" s="10" t="s">
        <v>123</v>
      </c>
      <c r="D68" s="10" t="s">
        <v>81</v>
      </c>
      <c r="E68" s="11">
        <v>18</v>
      </c>
      <c r="F68" s="11">
        <v>20.3</v>
      </c>
      <c r="G68" s="12" t="s">
        <v>82</v>
      </c>
      <c r="H68" s="13">
        <v>837</v>
      </c>
    </row>
    <row r="69" spans="1:8">
      <c r="A69" s="9">
        <v>52</v>
      </c>
      <c r="B69" s="16" t="s">
        <v>124</v>
      </c>
      <c r="C69" s="10" t="s">
        <v>125</v>
      </c>
      <c r="D69" s="10" t="s">
        <v>47</v>
      </c>
      <c r="E69" s="11">
        <v>3.9</v>
      </c>
      <c r="F69" s="11">
        <v>4.3</v>
      </c>
      <c r="G69" s="12" t="s">
        <v>61</v>
      </c>
      <c r="H69" s="13">
        <v>474</v>
      </c>
    </row>
    <row r="70" spans="1:8">
      <c r="A70" s="9">
        <v>53</v>
      </c>
      <c r="B70" s="16" t="s">
        <v>126</v>
      </c>
      <c r="C70" s="10" t="s">
        <v>126</v>
      </c>
      <c r="D70" s="10" t="s">
        <v>47</v>
      </c>
      <c r="E70" s="11">
        <v>6.9</v>
      </c>
      <c r="F70" s="11">
        <v>7.6</v>
      </c>
      <c r="G70" s="12" t="s">
        <v>33</v>
      </c>
      <c r="H70" s="13">
        <v>101</v>
      </c>
    </row>
    <row r="71" spans="1:8">
      <c r="A71" s="9">
        <v>55</v>
      </c>
      <c r="B71" s="16" t="s">
        <v>127</v>
      </c>
      <c r="C71" s="10" t="s">
        <v>128</v>
      </c>
      <c r="D71" s="10" t="s">
        <v>81</v>
      </c>
      <c r="E71" s="11">
        <v>31.4</v>
      </c>
      <c r="F71" s="11">
        <v>35.5</v>
      </c>
      <c r="G71" s="12" t="s">
        <v>129</v>
      </c>
      <c r="H71" s="4">
        <v>102</v>
      </c>
    </row>
    <row r="72" spans="1:8">
      <c r="A72" s="9">
        <v>56</v>
      </c>
      <c r="B72" s="16" t="s">
        <v>130</v>
      </c>
      <c r="C72" s="4" t="s">
        <v>130</v>
      </c>
      <c r="D72" s="14" t="s">
        <v>84</v>
      </c>
      <c r="E72" s="4">
        <v>31.5</v>
      </c>
      <c r="F72" s="4">
        <v>35.299999999999997</v>
      </c>
      <c r="G72" s="4" t="s">
        <v>100</v>
      </c>
      <c r="H72" s="4">
        <v>290</v>
      </c>
    </row>
    <row r="73" spans="1:8">
      <c r="A73" s="9">
        <v>57</v>
      </c>
      <c r="B73" s="16" t="s">
        <v>131</v>
      </c>
      <c r="C73" s="4" t="s">
        <v>132</v>
      </c>
      <c r="D73" s="14" t="s">
        <v>81</v>
      </c>
      <c r="E73" s="4">
        <v>11.2</v>
      </c>
      <c r="F73" s="4">
        <v>12.4</v>
      </c>
      <c r="G73" s="4" t="s">
        <v>77</v>
      </c>
      <c r="H73" s="4">
        <v>75</v>
      </c>
    </row>
    <row r="74" spans="1:8">
      <c r="A74" s="9">
        <v>58</v>
      </c>
      <c r="B74" s="16" t="s">
        <v>133</v>
      </c>
      <c r="C74" s="4" t="s">
        <v>133</v>
      </c>
      <c r="D74" s="14" t="s">
        <v>84</v>
      </c>
      <c r="E74" s="4">
        <v>42.7</v>
      </c>
      <c r="F74" s="4">
        <v>47.7</v>
      </c>
      <c r="G74" s="4" t="s">
        <v>82</v>
      </c>
      <c r="H74" s="4">
        <v>108</v>
      </c>
    </row>
    <row r="75" spans="1:8" ht="26.25">
      <c r="A75" s="9">
        <v>59</v>
      </c>
      <c r="B75" s="16" t="s">
        <v>134</v>
      </c>
      <c r="C75" s="4" t="s">
        <v>134</v>
      </c>
      <c r="D75" s="14" t="s">
        <v>135</v>
      </c>
      <c r="E75" s="4">
        <v>29.5</v>
      </c>
      <c r="F75" s="4">
        <v>33.299999999999997</v>
      </c>
      <c r="G75" s="4" t="s">
        <v>103</v>
      </c>
      <c r="H75" s="4">
        <v>123</v>
      </c>
    </row>
    <row r="76" spans="1:8" ht="26.25">
      <c r="A76" s="9">
        <v>60</v>
      </c>
      <c r="B76" s="16" t="s">
        <v>136</v>
      </c>
      <c r="C76" s="4" t="s">
        <v>136</v>
      </c>
      <c r="D76" s="14" t="s">
        <v>135</v>
      </c>
      <c r="E76" s="4">
        <v>25.8</v>
      </c>
      <c r="F76" s="4">
        <v>29.3</v>
      </c>
      <c r="G76" s="4" t="s">
        <v>129</v>
      </c>
      <c r="H76" s="4">
        <v>367</v>
      </c>
    </row>
    <row r="77" spans="1:8">
      <c r="A77" s="7"/>
      <c r="B77" s="7"/>
      <c r="C77" s="4" t="s">
        <v>137</v>
      </c>
      <c r="D77" s="14" t="s">
        <v>47</v>
      </c>
      <c r="E77" s="4">
        <v>8.9</v>
      </c>
      <c r="F77" s="4">
        <v>9.8000000000000007</v>
      </c>
      <c r="G77" s="4" t="s">
        <v>61</v>
      </c>
      <c r="H77" s="4">
        <v>126</v>
      </c>
    </row>
    <row r="78" spans="1:8">
      <c r="A78" s="9">
        <v>120</v>
      </c>
      <c r="B78" s="16" t="s">
        <v>138</v>
      </c>
      <c r="C78" s="4" t="s">
        <v>139</v>
      </c>
      <c r="D78" s="14" t="s">
        <v>47</v>
      </c>
      <c r="E78" s="4">
        <v>25.9</v>
      </c>
      <c r="F78" s="4">
        <v>28.6</v>
      </c>
      <c r="G78" s="4" t="s">
        <v>115</v>
      </c>
      <c r="H78" s="4"/>
    </row>
    <row r="79" spans="1:8">
      <c r="A79" s="9"/>
      <c r="B79" s="7" t="s">
        <v>140</v>
      </c>
      <c r="C79" s="4" t="s">
        <v>140</v>
      </c>
      <c r="D79" s="14"/>
      <c r="E79" s="4"/>
      <c r="F79" s="4"/>
      <c r="G79" s="4"/>
      <c r="H79" s="4">
        <v>62</v>
      </c>
    </row>
    <row r="80" spans="1:8">
      <c r="A80" s="9">
        <v>103</v>
      </c>
      <c r="B80" s="7" t="s">
        <v>141</v>
      </c>
      <c r="C80" s="4" t="s">
        <v>141</v>
      </c>
      <c r="D80" s="14" t="s">
        <v>142</v>
      </c>
      <c r="E80" s="4">
        <v>51.3</v>
      </c>
      <c r="F80" s="4">
        <v>57.7</v>
      </c>
      <c r="G80" s="4" t="s">
        <v>82</v>
      </c>
      <c r="H80" s="4">
        <v>79</v>
      </c>
    </row>
    <row r="81" spans="1:8">
      <c r="A81" s="9">
        <v>105</v>
      </c>
      <c r="B81" s="7" t="s">
        <v>143</v>
      </c>
      <c r="C81" s="4" t="s">
        <v>144</v>
      </c>
      <c r="D81" s="14" t="s">
        <v>145</v>
      </c>
      <c r="E81" s="4">
        <v>41.2</v>
      </c>
      <c r="F81" s="4">
        <v>45.6</v>
      </c>
      <c r="G81" s="4" t="s">
        <v>115</v>
      </c>
      <c r="H81" s="4">
        <v>563</v>
      </c>
    </row>
    <row r="82" spans="1:8">
      <c r="A82" s="9"/>
      <c r="B82" s="7" t="s">
        <v>146</v>
      </c>
      <c r="C82" s="4" t="s">
        <v>146</v>
      </c>
      <c r="D82" s="14" t="s">
        <v>47</v>
      </c>
      <c r="E82" s="4">
        <v>5.8</v>
      </c>
      <c r="F82" s="4">
        <v>6.4</v>
      </c>
      <c r="G82" s="4" t="s">
        <v>61</v>
      </c>
      <c r="H82" s="4">
        <v>1125</v>
      </c>
    </row>
    <row r="83" spans="1:8">
      <c r="A83" s="9"/>
      <c r="B83" s="7" t="s">
        <v>147</v>
      </c>
      <c r="C83" s="4" t="s">
        <v>147</v>
      </c>
      <c r="D83" s="14" t="s">
        <v>47</v>
      </c>
      <c r="E83" s="4">
        <v>2.9</v>
      </c>
      <c r="F83" s="4">
        <v>3.2</v>
      </c>
      <c r="G83" s="4" t="s">
        <v>61</v>
      </c>
      <c r="H83" s="4">
        <v>878</v>
      </c>
    </row>
    <row r="84" spans="1:8">
      <c r="A84" s="9">
        <v>172</v>
      </c>
      <c r="B84" s="7" t="s">
        <v>148</v>
      </c>
      <c r="C84" s="4" t="s">
        <v>148</v>
      </c>
      <c r="D84" s="14" t="s">
        <v>47</v>
      </c>
      <c r="E84" s="4">
        <v>3.7</v>
      </c>
      <c r="F84" s="4">
        <v>4.0999999999999996</v>
      </c>
      <c r="G84" s="4" t="s">
        <v>61</v>
      </c>
      <c r="H84" s="4">
        <v>279</v>
      </c>
    </row>
    <row r="85" spans="1:8">
      <c r="A85" s="9">
        <v>106</v>
      </c>
      <c r="B85" s="7" t="s">
        <v>149</v>
      </c>
      <c r="C85" s="4" t="s">
        <v>149</v>
      </c>
      <c r="D85" s="14" t="s">
        <v>47</v>
      </c>
      <c r="E85" s="4">
        <v>11.7</v>
      </c>
      <c r="F85" s="4">
        <v>12.9</v>
      </c>
      <c r="G85" s="4" t="s">
        <v>61</v>
      </c>
      <c r="H85" s="4">
        <v>545</v>
      </c>
    </row>
    <row r="86" spans="1:8">
      <c r="A86" s="9">
        <v>107</v>
      </c>
      <c r="B86" s="7" t="s">
        <v>150</v>
      </c>
      <c r="C86" s="4" t="s">
        <v>150</v>
      </c>
      <c r="D86" s="14" t="s">
        <v>47</v>
      </c>
      <c r="E86" s="4">
        <v>6</v>
      </c>
      <c r="F86" s="4">
        <v>6.6</v>
      </c>
      <c r="G86" s="4" t="s">
        <v>61</v>
      </c>
      <c r="H86" s="4">
        <v>149</v>
      </c>
    </row>
    <row r="87" spans="1:8">
      <c r="A87" s="9">
        <v>154</v>
      </c>
      <c r="B87" s="7" t="s">
        <v>151</v>
      </c>
      <c r="C87" s="4" t="s">
        <v>151</v>
      </c>
      <c r="D87" s="14" t="s">
        <v>47</v>
      </c>
      <c r="E87" s="4">
        <v>21.9</v>
      </c>
      <c r="F87" s="4">
        <v>24.2</v>
      </c>
      <c r="G87" s="4" t="s">
        <v>61</v>
      </c>
      <c r="H87" s="4">
        <v>0</v>
      </c>
    </row>
    <row r="88" spans="1:8">
      <c r="A88" s="9">
        <v>140</v>
      </c>
      <c r="B88" s="7" t="s">
        <v>152</v>
      </c>
      <c r="C88" s="4" t="s">
        <v>152</v>
      </c>
      <c r="D88" s="14" t="s">
        <v>47</v>
      </c>
      <c r="E88" s="4">
        <v>2.9</v>
      </c>
      <c r="F88" s="4">
        <v>3.2</v>
      </c>
      <c r="G88" s="4" t="s">
        <v>61</v>
      </c>
      <c r="H88" s="4">
        <v>857</v>
      </c>
    </row>
    <row r="89" spans="1:8">
      <c r="A89" s="9">
        <v>102</v>
      </c>
      <c r="B89" s="7" t="s">
        <v>153</v>
      </c>
      <c r="C89" s="4" t="s">
        <v>153</v>
      </c>
      <c r="D89" s="14" t="s">
        <v>47</v>
      </c>
      <c r="E89" s="4">
        <v>3.8</v>
      </c>
      <c r="F89" s="4">
        <v>4.2</v>
      </c>
      <c r="G89" s="4" t="s">
        <v>61</v>
      </c>
      <c r="H89" s="4">
        <v>2250</v>
      </c>
    </row>
    <row r="90" spans="1:8">
      <c r="A90" s="9">
        <v>152</v>
      </c>
      <c r="B90" s="7" t="s">
        <v>154</v>
      </c>
      <c r="C90" s="4" t="s">
        <v>154</v>
      </c>
      <c r="D90" s="14" t="s">
        <v>47</v>
      </c>
      <c r="E90" s="4">
        <v>1.4</v>
      </c>
      <c r="F90" s="4">
        <v>1.6</v>
      </c>
      <c r="G90" s="4" t="s">
        <v>61</v>
      </c>
      <c r="H90" s="4">
        <v>293</v>
      </c>
    </row>
    <row r="91" spans="1:8">
      <c r="A91" s="9">
        <v>121</v>
      </c>
      <c r="B91" s="7" t="s">
        <v>155</v>
      </c>
      <c r="C91" s="4" t="s">
        <v>155</v>
      </c>
      <c r="D91" s="14" t="s">
        <v>47</v>
      </c>
      <c r="E91" s="4">
        <v>11.1</v>
      </c>
      <c r="F91" s="4">
        <v>12.3</v>
      </c>
      <c r="G91" s="4" t="s">
        <v>61</v>
      </c>
      <c r="H91" s="4">
        <v>293</v>
      </c>
    </row>
    <row r="92" spans="1:8">
      <c r="A92" s="9">
        <v>131</v>
      </c>
      <c r="B92" s="7" t="s">
        <v>156</v>
      </c>
      <c r="C92" s="4" t="s">
        <v>156</v>
      </c>
      <c r="D92" s="14" t="s">
        <v>47</v>
      </c>
      <c r="E92" s="4">
        <v>11.1</v>
      </c>
      <c r="F92" s="4">
        <v>12.3</v>
      </c>
      <c r="G92" s="4" t="s">
        <v>61</v>
      </c>
      <c r="H92" s="4">
        <v>3600</v>
      </c>
    </row>
    <row r="93" spans="1:8">
      <c r="A93" s="9">
        <v>169</v>
      </c>
      <c r="B93" s="7" t="s">
        <v>157</v>
      </c>
      <c r="C93" s="4" t="s">
        <v>157</v>
      </c>
      <c r="D93" s="14" t="s">
        <v>47</v>
      </c>
      <c r="E93" s="4">
        <v>0.9</v>
      </c>
      <c r="F93" s="4">
        <v>1</v>
      </c>
      <c r="G93" s="4" t="s">
        <v>61</v>
      </c>
      <c r="H93" s="4"/>
    </row>
    <row r="95" spans="1:8">
      <c r="A95" s="1" t="s">
        <v>158</v>
      </c>
    </row>
  </sheetData>
  <mergeCells count="20">
    <mergeCell ref="A1:H1"/>
    <mergeCell ref="A2:H2"/>
    <mergeCell ref="A3:H3"/>
    <mergeCell ref="B4:E4"/>
    <mergeCell ref="B5:E5"/>
    <mergeCell ref="B16:E16"/>
    <mergeCell ref="B17:E17"/>
    <mergeCell ref="B18:E18"/>
    <mergeCell ref="B19:E19"/>
    <mergeCell ref="F4:H19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</mergeCells>
  <conditionalFormatting sqref="A1:A76 A81:A1048576 A78">
    <cfRule type="duplicateValues" dxfId="0" priority="1"/>
  </conditionalFormatting>
  <printOptions horizontalCentered="1"/>
  <pageMargins left="7.9166666666666705E-2" right="7.9166666666666705E-2" top="0.39652777777777798" bottom="0.39652777777777798" header="0.19791666666666699" footer="0.19791666666666699"/>
  <pageSetup paperSize="9" scale="86" orientation="portrait" r:id="rId1"/>
  <headerFooter>
    <oddFooter>&amp;R&amp;D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15A0212</vt:lpstr>
      <vt:lpstr>'15A0212'!Print_Titles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Yunzhu Lai</cp:lastModifiedBy>
  <dcterms:created xsi:type="dcterms:W3CDTF">2025-03-07T03:28:00Z</dcterms:created>
  <dcterms:modified xsi:type="dcterms:W3CDTF">2025-09-29T11:56:29Z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4AE0C5CF7D234DB29C4A1A6BDF3BDFCA_13</vt:lpwstr>
  </property>
  <property fmtid="{D5CDD505-2E9C-101B-9397-08002B2CF9AE}" pid="3" name="KSOProductBuildVer">
    <vt:lpwstr>2052-12.1.0.20784</vt:lpwstr>
  </property>
</Properties>
</file>