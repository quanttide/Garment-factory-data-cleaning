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nzhu Lai\Dropbox\Yunzhu Exp\data\International order firm\runfeng\半年数据\半年数据\工序表\"/>
    </mc:Choice>
  </mc:AlternateContent>
  <xr:revisionPtr revIDLastSave="0" documentId="8_{E25F738E-23DA-4446-83D2-271E1293D1C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3111-001" sheetId="1" r:id="rId1"/>
    <sheet name="3111-001 -财务" sheetId="2" r:id="rId2"/>
  </sheets>
  <externalReferences>
    <externalReference r:id="rId3"/>
  </externalReferences>
  <definedNames>
    <definedName name="_xlnm._FilterDatabase" localSheetId="0" hidden="1">'3111-001'!$A$20:$CM$138</definedName>
    <definedName name="_xlnm._FilterDatabase" localSheetId="1" hidden="1">'3111-001 -财务'!$A$20:$CV$134</definedName>
    <definedName name="_xlnm.Print_Titles" localSheetId="0">'3111-001'!$1:$11</definedName>
    <definedName name="_xlnm.Print_Titles" localSheetId="1">'3111-001 -财务'!$1:$11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2" i="2" l="1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0" i="2"/>
  <c r="J39" i="2"/>
  <c r="J38" i="2"/>
  <c r="J37" i="2"/>
  <c r="J36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B11" i="2"/>
  <c r="B10" i="2"/>
  <c r="G137" i="1"/>
  <c r="G116" i="1"/>
  <c r="B11" i="1"/>
  <c r="B10" i="1"/>
</calcChain>
</file>

<file path=xl/sharedStrings.xml><?xml version="1.0" encoding="utf-8"?>
<sst xmlns="http://schemas.openxmlformats.org/spreadsheetml/2006/main" count="923" uniqueCount="286">
  <si>
    <t>重庆尚上服饰有限公司</t>
  </si>
  <si>
    <t>款式工序表</t>
  </si>
  <si>
    <t>打印日期：2025-07-22 13:40:21</t>
  </si>
  <si>
    <t>生产制单号：</t>
  </si>
  <si>
    <t>3111-001</t>
  </si>
  <si>
    <t>客　　户：</t>
  </si>
  <si>
    <t>待定</t>
  </si>
  <si>
    <t>客户款号：</t>
  </si>
  <si>
    <t>款式描述：</t>
  </si>
  <si>
    <t>复合面料长袖衬衣外套</t>
  </si>
  <si>
    <t>品质标准：</t>
  </si>
  <si>
    <t>数　　量：</t>
  </si>
  <si>
    <t>车缝时间：</t>
  </si>
  <si>
    <t>车缝10.5H台产：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</si>
  <si>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</si>
  <si>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</si>
  <si>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</si>
  <si>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</si>
  <si>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</si>
  <si>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</si>
  <si>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</si>
  <si>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</si>
  <si>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</si>
  <si>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</si>
  <si>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</si>
  <si>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</si>
  <si>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</si>
  <si>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</si>
  <si>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</si>
  <si>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</si>
  <si>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</si>
  <si>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</t>
  </si>
  <si>
    <t>松面布*1.57</t>
  </si>
  <si>
    <t>松布机</t>
  </si>
  <si>
    <t>E2</t>
  </si>
  <si>
    <t>拉面布</t>
  </si>
  <si>
    <t>拉面布*1.57</t>
  </si>
  <si>
    <t>手工</t>
  </si>
  <si>
    <t>E3</t>
  </si>
  <si>
    <t>裁剪面布</t>
  </si>
  <si>
    <t>裁剪面布*27</t>
  </si>
  <si>
    <t>D4</t>
  </si>
  <si>
    <t>手工撕开复合面料</t>
  </si>
  <si>
    <t>手工撕开复合面料*0.025 （已单件用量核算）</t>
  </si>
  <si>
    <t>拉袋贴、挂耳面布</t>
  </si>
  <si>
    <t>拉袋贴、挂耳面布*0.025</t>
  </si>
  <si>
    <t>裁剪袋贴、挂耳</t>
  </si>
  <si>
    <t>裁剪袋贴、挂耳*2(挂耳一根约4件）</t>
  </si>
  <si>
    <t>面布分包</t>
  </si>
  <si>
    <t>面布分包*27</t>
  </si>
  <si>
    <t>袋贴、挂耳分包</t>
  </si>
  <si>
    <t>袋贴、挂耳分包*2（大包）</t>
  </si>
  <si>
    <t>拉梭织袋布</t>
  </si>
  <si>
    <t>拉梭织袋布*0.059</t>
  </si>
  <si>
    <t>拉布机</t>
  </si>
  <si>
    <t>裁剪梭织袋布</t>
  </si>
  <si>
    <t>裁剪梭织袋布*2</t>
  </si>
  <si>
    <t>电脑裁剪</t>
  </si>
  <si>
    <t>梭织袋布分大包</t>
  </si>
  <si>
    <t>梭织袋布分大包*2</t>
  </si>
  <si>
    <t>验片/配片</t>
  </si>
  <si>
    <t>面布验片/配补片*14</t>
  </si>
  <si>
    <t>切袋布捆条</t>
  </si>
  <si>
    <t>切袋布捆条 *0.03</t>
  </si>
  <si>
    <t>切捆条机</t>
  </si>
  <si>
    <t>下裁片</t>
  </si>
  <si>
    <t>2-领子</t>
  </si>
  <si>
    <t>平车搭接后领挂耳</t>
  </si>
  <si>
    <t>平车搭接后领挂耳（针脚调稀）一根约4件</t>
  </si>
  <si>
    <t>电脑平车</t>
  </si>
  <si>
    <t>D1</t>
  </si>
  <si>
    <t>平车带筒拉后领挂耳</t>
  </si>
  <si>
    <t>平车带筒拉后领挂耳*1</t>
  </si>
  <si>
    <t>D2</t>
  </si>
  <si>
    <t>手工量剪后领挂耳</t>
  </si>
  <si>
    <t>手工量剪后领挂耳*1</t>
  </si>
  <si>
    <t>E1</t>
  </si>
  <si>
    <t>实样烫里面小领下止口</t>
  </si>
  <si>
    <t>实样烫里领底止口*1</t>
  </si>
  <si>
    <t>中烫（气烫）</t>
  </si>
  <si>
    <t>实样烫里面领两端止口</t>
  </si>
  <si>
    <t>手工模板合里小领暗线</t>
  </si>
  <si>
    <t>平车合里小领暗线*1</t>
  </si>
  <si>
    <t>C3</t>
  </si>
  <si>
    <t>手工模板合面小领暗线连点三刀眼</t>
  </si>
  <si>
    <t>平车合面小领暗线*1</t>
  </si>
  <si>
    <t>平车压面小领明边线</t>
  </si>
  <si>
    <t>平车压面小领明边线*1</t>
  </si>
  <si>
    <t>C4</t>
  </si>
  <si>
    <t>双针压里小领双明线</t>
  </si>
  <si>
    <t>双针压里小领双明线*1（分刀压脚）</t>
  </si>
  <si>
    <t>电脑双针平车</t>
  </si>
  <si>
    <t>自动模板运大领领顶暗线激光切止口及清理止口</t>
  </si>
  <si>
    <t>自动模板合领三边暗线连画面领底实样线点三刀眼位*1（不含机器时间、一个模板两件）</t>
  </si>
  <si>
    <t>全自动模板机</t>
  </si>
  <si>
    <t>手工翻大领两端</t>
  </si>
  <si>
    <t>手工修翻领两端*1</t>
  </si>
  <si>
    <t>整烫大领顶止口及小领</t>
  </si>
  <si>
    <t>==</t>
  </si>
  <si>
    <t>D3</t>
  </si>
  <si>
    <t>花样机订里小领主标连尺码标一周明线</t>
  </si>
  <si>
    <t>花样机订里小领主标连尺码标一周明线*1（车台定位）</t>
  </si>
  <si>
    <t>3-袖子</t>
  </si>
  <si>
    <t>实样折烫袖克夫一边止口</t>
  </si>
  <si>
    <t>实样折烫袖克夫一边止口*4</t>
  </si>
  <si>
    <t>自动模板运袖克夫三边暗线</t>
  </si>
  <si>
    <t>自动模板运袖克夫三边暗线*2（一个模板9个 不含机器时间、多余止口一边出 ）</t>
  </si>
  <si>
    <t>全自动激光模板机</t>
  </si>
  <si>
    <t>刀车修袖克夫一端止口</t>
  </si>
  <si>
    <t>刀车修袖克夫一端止口*2</t>
  </si>
  <si>
    <t>无针切刀车</t>
  </si>
  <si>
    <t>手工翻袖克夫</t>
  </si>
  <si>
    <t>手工翻袖克夫*2（套起做）</t>
  </si>
  <si>
    <t>中烫袖克夫及袖底</t>
  </si>
  <si>
    <t>中烫整烫袖克夫*2</t>
  </si>
  <si>
    <t>双针平车单折大袖叉明线</t>
  </si>
  <si>
    <t>双针平车单折大袖叉明线*2（车台定位）</t>
  </si>
  <si>
    <t>平车合小袖上下节暗线</t>
  </si>
  <si>
    <t>平车合小袖上下节暗线*2</t>
  </si>
  <si>
    <t>C1</t>
  </si>
  <si>
    <t>双针平车压小袖上下节缝明线</t>
  </si>
  <si>
    <t>双针平车压小袖上下节缝明线*2</t>
  </si>
  <si>
    <t>平车合后袖缝留袖叉</t>
  </si>
  <si>
    <t>平车合后袖缝留袖叉*2（注意袖叉位）车台定位</t>
  </si>
  <si>
    <t>双针平车压后袖缝明线</t>
  </si>
  <si>
    <t>双针平车压后袖缝明线*2（袖叉位置重线）</t>
  </si>
  <si>
    <t>平车折车小袖叉明线</t>
  </si>
  <si>
    <t>平车折车小袖叉明线*2（车台定位）</t>
  </si>
  <si>
    <t>平车固定袖叉打枣位</t>
  </si>
  <si>
    <t>平车固定袖叉打枣位*2（套起做）</t>
  </si>
  <si>
    <t>平车对位合袖底缝</t>
  </si>
  <si>
    <t>平车对位合袖底缝*2</t>
  </si>
  <si>
    <t>平车收袖口活折</t>
  </si>
  <si>
    <t>平车收袖口活折*2(套起做）</t>
  </si>
  <si>
    <t>平车对位上袖口暗线</t>
  </si>
  <si>
    <t>平车对位上袖口暗线*2（比袖叉高低及修剪)</t>
  </si>
  <si>
    <t>B2</t>
  </si>
  <si>
    <t>平车压袖口底连三边外缘边明线</t>
  </si>
  <si>
    <t>平车压袖口底连三边外缘边明线*2（修剪二端止口）</t>
  </si>
  <si>
    <t>B4</t>
  </si>
  <si>
    <t>平车压袖克夫一周内明线</t>
  </si>
  <si>
    <t>平车压袖克夫一周内明线*2</t>
  </si>
  <si>
    <t>手工翻袖子到正面</t>
  </si>
  <si>
    <t>手工翻袖子到正面*2</t>
  </si>
  <si>
    <t>修剪袖底拼缝止口</t>
  </si>
  <si>
    <t>手工修剪袖拼接斜角止口*2</t>
  </si>
  <si>
    <t>4-前片</t>
  </si>
  <si>
    <t>自动模板开前袋连激光开口</t>
  </si>
  <si>
    <t>自动模板开前袋连激光开口*2（放两边袋布、袋唇、不含机器时间）</t>
  </si>
  <si>
    <t>平车还口车袋贴</t>
  </si>
  <si>
    <t>平车还口车袋贴*2</t>
  </si>
  <si>
    <t>手工翻前袋口连暗封袋角两端</t>
  </si>
  <si>
    <t>手工翻前袋口连暗封袋角两端*2</t>
  </si>
  <si>
    <t>平车压前袋口一边明线</t>
  </si>
  <si>
    <t>平车压前袋口一边明线*2（套起做）</t>
  </si>
  <si>
    <t>平车压前袋口一边明线转角</t>
  </si>
  <si>
    <t>平车压前袋口一边明线转角*2</t>
  </si>
  <si>
    <t>B1</t>
  </si>
  <si>
    <t>平车转角合袋布一周</t>
  </si>
  <si>
    <t>平车转角合袋布一周*2</t>
  </si>
  <si>
    <t>刀修前袋口止口连袋布一周</t>
  </si>
  <si>
    <t>刀修前袋口止口连袋布一周*2</t>
  </si>
  <si>
    <t>平车拉袋口连袋布一周捆条连剪断</t>
  </si>
  <si>
    <t>平车拉袋口连袋布一周捆条连剪断*2（分两次拉）</t>
  </si>
  <si>
    <t>修剪捆条</t>
  </si>
  <si>
    <t>手工塞袋布两端捆条2*2（修剪捆条）</t>
  </si>
  <si>
    <t>平车合前担干暗线</t>
  </si>
  <si>
    <t>平车合前担干暗线*2</t>
  </si>
  <si>
    <t>C2</t>
  </si>
  <si>
    <t>双针平车压前担干明线</t>
  </si>
  <si>
    <t>双针平车压前担干明线*2</t>
  </si>
  <si>
    <t>=============</t>
  </si>
  <si>
    <t>平车带筒折压前中挂面一边散口明线</t>
  </si>
  <si>
    <t>平车带筒折压前中挂面一边散口明线*2</t>
  </si>
  <si>
    <t>平车合挂面底暗线</t>
  </si>
  <si>
    <t>平车合挂面底暗线*2</t>
  </si>
  <si>
    <t>平车运下摆咀暗线连打刀口</t>
  </si>
  <si>
    <t>平车运下摆咀暗线连打刀口*2（车台定位）</t>
  </si>
  <si>
    <t>自动模板落前片门襟转角暗线</t>
  </si>
  <si>
    <t>自动模板落前片门襟转角暗线*2（不含机器时间）</t>
  </si>
  <si>
    <t>中烫门襟缝开骨连翻领角</t>
  </si>
  <si>
    <t>手工修剪连翻领角、下摆咀、打刀口*2（套起做）</t>
  </si>
  <si>
    <t>双针压门襟转角明线</t>
  </si>
  <si>
    <t>双针压门襟转角明线*2</t>
  </si>
  <si>
    <t>平车固定挂面领圈连小肩位</t>
  </si>
  <si>
    <t>平车固定挂面领圈连小肩位*2</t>
  </si>
  <si>
    <t>平车固定袋布两端于挂面</t>
  </si>
  <si>
    <t>平车固定袋布两端于挂面2*2</t>
  </si>
  <si>
    <t>5-后片</t>
  </si>
  <si>
    <t>平车合后中缝</t>
  </si>
  <si>
    <t>平车合后中缝*1</t>
  </si>
  <si>
    <t>双针平车压后中缝明线</t>
  </si>
  <si>
    <t>双针平车压后中缝明线*1</t>
  </si>
  <si>
    <t>平车对位合后担干</t>
  </si>
  <si>
    <t>平车对位合后担干*1</t>
  </si>
  <si>
    <t>双针平车压后担干明线</t>
  </si>
  <si>
    <t>双针平车压后担干明线*1</t>
  </si>
  <si>
    <t>6-组合</t>
  </si>
  <si>
    <t>挂片</t>
  </si>
  <si>
    <t>挂片/配补片</t>
  </si>
  <si>
    <t>平车对位合肩缝连袖底缝</t>
  </si>
  <si>
    <t>平车对位合肩缝*2</t>
  </si>
  <si>
    <t>平车订侧缝洗标、ID标</t>
  </si>
  <si>
    <t>平车对位合侧缝连落洗标、ID标*1*2（车台定位）</t>
  </si>
  <si>
    <t>双针平车压肩缝、侧缝明线</t>
  </si>
  <si>
    <t>双针平车压肩缝、侧缝明线*2</t>
  </si>
  <si>
    <t>平车订后中挂耳</t>
  </si>
  <si>
    <t>平车订后中挂耳、透明挂耳连剪断*1</t>
  </si>
  <si>
    <t>平车对位上领暗线</t>
  </si>
  <si>
    <t>平车对位上领暗线*1</t>
  </si>
  <si>
    <t>平车压领底明线</t>
  </si>
  <si>
    <t>平车压领底明线*1</t>
  </si>
  <si>
    <t>双针平车压领三边明线</t>
  </si>
  <si>
    <t>平车压领三边双明线*1</t>
  </si>
  <si>
    <t>平车对位上圆袖</t>
  </si>
  <si>
    <t>平车对位上圆袖*2</t>
  </si>
  <si>
    <t>双针平车压圆袖袖圈明线</t>
  </si>
  <si>
    <t>平车压圆袖袖圈明线*2</t>
  </si>
  <si>
    <t>电脑平车（同步车）</t>
  </si>
  <si>
    <t>平车还口车下摆明线</t>
  </si>
  <si>
    <t>平车还口车下摆明线*2</t>
  </si>
  <si>
    <t>中查</t>
  </si>
  <si>
    <t>检验</t>
  </si>
  <si>
    <t>E4</t>
  </si>
  <si>
    <t>7-专机</t>
  </si>
  <si>
    <t>实样点门襟、袖克夫平眼位</t>
  </si>
  <si>
    <t>实样点门襟、袖克夫平眼位*7</t>
  </si>
  <si>
    <t>开门襟袖口平眼眼</t>
  </si>
  <si>
    <t>开门襟袖口平眼*7</t>
  </si>
  <si>
    <t>电脑单头平眼车</t>
  </si>
  <si>
    <t>手工点手工门襟袖克夫纽扣位</t>
  </si>
  <si>
    <t>手工点手工门襟袖克夫纽扣位*7</t>
  </si>
  <si>
    <t>机订门襟、袖克夫纽扣</t>
  </si>
  <si>
    <t>机订门襟、袖克夫纽扣*7</t>
  </si>
  <si>
    <t>半自动钉扣车</t>
  </si>
  <si>
    <t>手工扣整件纽扣</t>
  </si>
  <si>
    <t>手工扣整件纽扣*7</t>
  </si>
  <si>
    <t>打枣</t>
  </si>
  <si>
    <t>打袖叉枣*2</t>
  </si>
  <si>
    <t>电脑打枣车</t>
  </si>
  <si>
    <t>尾部</t>
  </si>
  <si>
    <t>8-尾部</t>
  </si>
  <si>
    <t>尾部收货</t>
  </si>
  <si>
    <t>大烫</t>
  </si>
  <si>
    <t>整烫（尾部）</t>
  </si>
  <si>
    <t>尾查</t>
  </si>
  <si>
    <t>尾查（成品）</t>
  </si>
  <si>
    <t>分PO</t>
  </si>
  <si>
    <t>查码</t>
  </si>
  <si>
    <t>EE</t>
  </si>
  <si>
    <t>贴吊牌贴纸</t>
  </si>
  <si>
    <t>贴吊牌贴纸*1</t>
  </si>
  <si>
    <t>放备用扣入袋</t>
  </si>
  <si>
    <t>放备用扣入袋*1</t>
  </si>
  <si>
    <t>穿吊牌连穿挂备用扣</t>
  </si>
  <si>
    <t>手工穿挂吊牌连穿挂备用扣*1</t>
  </si>
  <si>
    <t>分色/分码</t>
  </si>
  <si>
    <t>包装搬运</t>
  </si>
  <si>
    <t>折叠</t>
  </si>
  <si>
    <t>单件折叠(折叠袖子）放防潮纸</t>
  </si>
  <si>
    <t>单件装袋</t>
  </si>
  <si>
    <t>单件装袋自动封口*1（大袋）</t>
  </si>
  <si>
    <t>贴胶袋贴纸</t>
  </si>
  <si>
    <t>贴胶袋贴纸*1</t>
  </si>
  <si>
    <t>装箱前检查包装</t>
  </si>
  <si>
    <t>验针</t>
  </si>
  <si>
    <t>配比</t>
  </si>
  <si>
    <t>配比（1250件）</t>
  </si>
  <si>
    <t>手工贴箱贴*4（109箱）</t>
  </si>
  <si>
    <t>Y120</t>
  </si>
  <si>
    <t>装箱</t>
  </si>
  <si>
    <t>独色独码装箱25件/箱( 封箱、 装箱 放天地板 封箱 称箱 放箱)</t>
  </si>
  <si>
    <t>写箱号</t>
  </si>
  <si>
    <t>手工写箱号*20处、贴箱贴*2  25/1</t>
  </si>
  <si>
    <t>拉箱入库</t>
  </si>
  <si>
    <t>制表人：钱玲燕      审核：　　　    　 审批：　        批准：                          　　　　</t>
  </si>
  <si>
    <t>手工翻领两端*1</t>
  </si>
  <si>
    <t>整烫大领顶止口*1</t>
  </si>
  <si>
    <t>中烫门襟缝开骨连翻领角、下摆咀*2</t>
  </si>
  <si>
    <t>双针压门襟转角明线*2（止口已中烫）</t>
  </si>
  <si>
    <t>平车对位合肩缝连袖底缝*2</t>
  </si>
  <si>
    <t>平车订侧缝洗标、ID标*1（车台定位）</t>
  </si>
  <si>
    <t>双针平车压领三边明线*1</t>
  </si>
  <si>
    <t>双针平车压圆袖袖圈明线*2</t>
  </si>
  <si>
    <t>单件折叠(折叠袖子）</t>
  </si>
  <si>
    <t>独色独码装箱25件/箱(写箱号 、封箱、贴箱贴  装箱 放天地板 封箱 称箱 放箱)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</si>
</sst>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0.00_);[Red]\(0.00\)"/>
    <numFmt numFmtId="169" formatCode="0.0_ "/>
    <numFmt numFmtId="170" formatCode="0_ "/>
  </numFmts>
  <fonts count="1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b/>
      <sz val="20"/>
      <name val="Calibri"/>
      <charset val="134"/>
      <scheme val="minor"/>
    </font>
    <font>
      <b/>
      <sz val="16"/>
      <name val="Calibri"/>
      <charset val="134"/>
      <scheme val="minor"/>
    </font>
    <font>
      <b/>
      <sz val="1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49" fontId="4" fillId="3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169" fontId="4" fillId="0" borderId="1" xfId="0" applyNumberFormat="1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 wrapText="1"/>
    </xf>
    <xf numFmtId="169" fontId="10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69" fontId="1" fillId="0" borderId="1" xfId="0" applyNumberFormat="1" applyFont="1" applyBorder="1">
      <alignment vertical="center"/>
    </xf>
    <xf numFmtId="0" fontId="4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0" fontId="4" fillId="0" borderId="1" xfId="0" applyNumberFormat="1" applyFont="1" applyBorder="1">
      <alignment vertical="center"/>
    </xf>
    <xf numFmtId="170" fontId="10" fillId="0" borderId="1" xfId="0" applyNumberFormat="1" applyFont="1" applyBorder="1">
      <alignment vertical="center"/>
    </xf>
    <xf numFmtId="170" fontId="1" fillId="0" borderId="1" xfId="0" applyNumberFormat="1" applyFont="1" applyBorder="1">
      <alignment vertical="center"/>
    </xf>
    <xf numFmtId="0" fontId="1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>
      <alignment vertical="center"/>
    </xf>
    <xf numFmtId="0" fontId="1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>
      <alignment vertical="center"/>
    </xf>
    <xf numFmtId="170" fontId="11" fillId="0" borderId="1" xfId="0" applyNumberFormat="1" applyFont="1" applyBorder="1">
      <alignment vertical="center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8" fontId="3" fillId="0" borderId="1" xfId="0" applyNumberFormat="1" applyFont="1" applyBorder="1" applyAlignment="1">
      <alignment horizontal="left" vertical="center"/>
    </xf>
    <xf numFmtId="168" fontId="11" fillId="0" borderId="1" xfId="0" applyNumberFormat="1" applyFont="1" applyBorder="1" applyAlignment="1">
      <alignment horizontal="left" vertical="center"/>
    </xf>
    <xf numFmtId="168" fontId="1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9" fontId="1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0" fontId="2" fillId="0" borderId="2" xfId="0" applyNumberFormat="1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8" fontId="4" fillId="0" borderId="1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15875</xdr:rowOff>
    </xdr:from>
    <xdr:to>
      <xdr:col>8</xdr:col>
      <xdr:colOff>564515</xdr:colOff>
      <xdr:row>18</xdr:row>
      <xdr:rowOff>29845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4340" y="749300"/>
          <a:ext cx="3079115" cy="245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154940</xdr:colOff>
      <xdr:row>86</xdr:row>
      <xdr:rowOff>292735</xdr:rowOff>
    </xdr:from>
    <xdr:to>
      <xdr:col>19</xdr:col>
      <xdr:colOff>440690</xdr:colOff>
      <xdr:row>115</xdr:row>
      <xdr:rowOff>26035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4905" y="18009235"/>
          <a:ext cx="7143750" cy="5372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15875</xdr:rowOff>
    </xdr:from>
    <xdr:to>
      <xdr:col>8</xdr:col>
      <xdr:colOff>564515</xdr:colOff>
      <xdr:row>18</xdr:row>
      <xdr:rowOff>29845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4340" y="749300"/>
          <a:ext cx="3079115" cy="245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4445</xdr:colOff>
      <xdr:row>82</xdr:row>
      <xdr:rowOff>147955</xdr:rowOff>
    </xdr:from>
    <xdr:to>
      <xdr:col>19</xdr:col>
      <xdr:colOff>339725</xdr:colOff>
      <xdr:row>85</xdr:row>
      <xdr:rowOff>208280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0210" y="15883255"/>
          <a:ext cx="5821680" cy="822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nzhu%20Lai/OneDrive/xwechat_files/wxid_i17f58jn63kd12_cca8/msg/file/2025-09/3111-001&#35009;&#24202;&#12289;&#36710;&#32541;&#12289;&#23614;&#37096;-&#36130;&#2115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11-001"/>
    </sheetNames>
    <sheetDataSet>
      <sheetData sheetId="0">
        <row r="4">
          <cell r="B4" t="str">
            <v>3111-001</v>
          </cell>
        </row>
        <row r="5">
          <cell r="B5" t="str">
            <v>待定</v>
          </cell>
        </row>
        <row r="6">
          <cell r="B6" t="str">
            <v>3111-001</v>
          </cell>
        </row>
        <row r="7">
          <cell r="B7" t="str">
            <v>复合面料长袖衬衣外套</v>
          </cell>
        </row>
        <row r="19">
          <cell r="B19" t="str">
            <v>QLY-钱玲燕</v>
          </cell>
        </row>
        <row r="20">
          <cell r="B20" t="str">
            <v>工序名称</v>
          </cell>
          <cell r="C20" t="str">
            <v>机器类型</v>
          </cell>
          <cell r="D20" t="str">
            <v>基础时间</v>
          </cell>
          <cell r="E20" t="str">
            <v>GST时间</v>
          </cell>
          <cell r="F20" t="str">
            <v>工序等级</v>
          </cell>
          <cell r="G20" t="str">
            <v>小时目标</v>
          </cell>
          <cell r="H20" t="str">
            <v>标准单价</v>
          </cell>
        </row>
        <row r="21">
          <cell r="B21" t="str">
            <v>1-裁床</v>
          </cell>
        </row>
        <row r="22">
          <cell r="B22" t="str">
            <v>松面布*1.57</v>
          </cell>
          <cell r="C22" t="str">
            <v>松布机</v>
          </cell>
          <cell r="D22">
            <v>8.8000000000000007</v>
          </cell>
          <cell r="E22">
            <v>9.9</v>
          </cell>
          <cell r="F22" t="str">
            <v>E2</v>
          </cell>
          <cell r="G22">
            <v>364</v>
          </cell>
          <cell r="H22">
            <v>3.1699999999999999E-2</v>
          </cell>
        </row>
        <row r="23">
          <cell r="B23" t="str">
            <v>拉面布*1.57</v>
          </cell>
          <cell r="C23" t="str">
            <v>手工</v>
          </cell>
          <cell r="D23">
            <v>30.1</v>
          </cell>
          <cell r="E23">
            <v>33.299999999999997</v>
          </cell>
          <cell r="F23" t="str">
            <v>E3</v>
          </cell>
          <cell r="G23">
            <v>108</v>
          </cell>
          <cell r="H23">
            <v>0.1099</v>
          </cell>
        </row>
        <row r="24">
          <cell r="B24" t="str">
            <v>裁剪面布*27</v>
          </cell>
          <cell r="C24" t="str">
            <v>手工</v>
          </cell>
          <cell r="D24">
            <v>38.6</v>
          </cell>
          <cell r="E24">
            <v>42.6</v>
          </cell>
          <cell r="F24" t="str">
            <v>D4</v>
          </cell>
          <cell r="G24">
            <v>85</v>
          </cell>
          <cell r="H24">
            <v>0.16189999999999999</v>
          </cell>
        </row>
        <row r="25">
          <cell r="B25" t="str">
            <v>手工撕开复合面料*0.025 （已单件用量核算）</v>
          </cell>
          <cell r="C25" t="str">
            <v>手工</v>
          </cell>
          <cell r="D25">
            <v>2</v>
          </cell>
          <cell r="E25">
            <v>2.2000000000000002</v>
          </cell>
          <cell r="F25" t="str">
            <v>E2</v>
          </cell>
          <cell r="G25">
            <v>1636</v>
          </cell>
          <cell r="H25">
            <v>7.0000000000000001E-3</v>
          </cell>
        </row>
        <row r="26">
          <cell r="B26" t="str">
            <v>拉袋贴、挂耳面布*0.025</v>
          </cell>
          <cell r="C26" t="str">
            <v>手工</v>
          </cell>
          <cell r="D26">
            <v>0.4</v>
          </cell>
          <cell r="E26">
            <v>0.4</v>
          </cell>
          <cell r="F26" t="str">
            <v>E3</v>
          </cell>
          <cell r="G26">
            <v>9000</v>
          </cell>
          <cell r="H26">
            <v>1.2999999999999999E-3</v>
          </cell>
        </row>
        <row r="27">
          <cell r="B27" t="str">
            <v>裁剪袋贴、挂耳*2(挂耳一根约4件）</v>
          </cell>
          <cell r="C27" t="str">
            <v>手工</v>
          </cell>
          <cell r="D27">
            <v>1</v>
          </cell>
          <cell r="E27">
            <v>1.1000000000000001</v>
          </cell>
          <cell r="F27" t="str">
            <v>D4</v>
          </cell>
          <cell r="G27">
            <v>3273</v>
          </cell>
          <cell r="H27">
            <v>4.1999999999999997E-3</v>
          </cell>
        </row>
        <row r="28">
          <cell r="B28" t="str">
            <v>面布分包*27</v>
          </cell>
          <cell r="C28" t="str">
            <v>手工</v>
          </cell>
          <cell r="D28">
            <v>30.5</v>
          </cell>
          <cell r="E28">
            <v>33.700000000000003</v>
          </cell>
          <cell r="F28" t="str">
            <v>E2</v>
          </cell>
          <cell r="G28">
            <v>107</v>
          </cell>
          <cell r="H28">
            <v>0.10780000000000001</v>
          </cell>
        </row>
        <row r="29">
          <cell r="B29" t="str">
            <v>袋贴、挂耳分包*2（大包）</v>
          </cell>
          <cell r="C29" t="str">
            <v>手工</v>
          </cell>
          <cell r="D29">
            <v>0.3</v>
          </cell>
          <cell r="E29">
            <v>0.3</v>
          </cell>
          <cell r="F29" t="str">
            <v>E2</v>
          </cell>
          <cell r="G29">
            <v>12000</v>
          </cell>
          <cell r="H29">
            <v>1E-3</v>
          </cell>
        </row>
        <row r="30">
          <cell r="B30" t="str">
            <v>拉梭织袋布*0.059</v>
          </cell>
          <cell r="C30" t="str">
            <v>拉布机</v>
          </cell>
          <cell r="D30">
            <v>0.7</v>
          </cell>
          <cell r="E30">
            <v>0.8</v>
          </cell>
          <cell r="F30" t="str">
            <v>E2</v>
          </cell>
          <cell r="G30">
            <v>4500</v>
          </cell>
          <cell r="H30">
            <v>2.5999999999999999E-3</v>
          </cell>
        </row>
        <row r="31">
          <cell r="B31" t="str">
            <v>裁剪梭织袋布*2</v>
          </cell>
          <cell r="C31" t="str">
            <v>电脑裁剪</v>
          </cell>
          <cell r="D31">
            <v>1</v>
          </cell>
          <cell r="E31">
            <v>1</v>
          </cell>
          <cell r="F31" t="str">
            <v>D4</v>
          </cell>
          <cell r="G31">
            <v>3600</v>
          </cell>
          <cell r="H31">
            <v>3.8E-3</v>
          </cell>
        </row>
        <row r="32">
          <cell r="B32" t="str">
            <v>梭织袋布分大包*2</v>
          </cell>
          <cell r="C32" t="str">
            <v>手工</v>
          </cell>
          <cell r="D32">
            <v>0.8</v>
          </cell>
          <cell r="E32">
            <v>0.9</v>
          </cell>
          <cell r="F32" t="str">
            <v>E2</v>
          </cell>
          <cell r="G32">
            <v>4000</v>
          </cell>
          <cell r="H32">
            <v>2.8999999999999998E-3</v>
          </cell>
        </row>
        <row r="33">
          <cell r="B33" t="str">
            <v>面布验片/配补片*14</v>
          </cell>
          <cell r="C33" t="str">
            <v>手工</v>
          </cell>
          <cell r="D33">
            <v>30.4</v>
          </cell>
          <cell r="E33">
            <v>33.6</v>
          </cell>
          <cell r="F33" t="str">
            <v>E3</v>
          </cell>
          <cell r="G33">
            <v>107</v>
          </cell>
          <cell r="H33">
            <v>0.1109</v>
          </cell>
        </row>
        <row r="34">
          <cell r="B34" t="str">
            <v>切袋布捆条 *0.03</v>
          </cell>
          <cell r="C34" t="str">
            <v>切捆条机</v>
          </cell>
          <cell r="D34">
            <v>0.2</v>
          </cell>
          <cell r="E34">
            <v>0.2</v>
          </cell>
          <cell r="F34" t="str">
            <v>E3</v>
          </cell>
          <cell r="G34">
            <v>18000</v>
          </cell>
          <cell r="H34">
            <v>6.9999999999999999E-4</v>
          </cell>
        </row>
        <row r="35">
          <cell r="B35" t="str">
            <v>2-领子</v>
          </cell>
        </row>
        <row r="36">
          <cell r="B36" t="str">
            <v>平车搭接后领挂耳（针脚调稀）一根约4件</v>
          </cell>
          <cell r="C36" t="str">
            <v>电脑平车</v>
          </cell>
          <cell r="D36">
            <v>1.4</v>
          </cell>
          <cell r="E36">
            <v>1.6</v>
          </cell>
          <cell r="F36" t="str">
            <v>D1</v>
          </cell>
          <cell r="G36">
            <v>2250</v>
          </cell>
          <cell r="H36">
            <v>5.5999999999999999E-3</v>
          </cell>
        </row>
        <row r="37">
          <cell r="B37" t="str">
            <v>平车带筒拉后领挂耳*1</v>
          </cell>
          <cell r="C37" t="str">
            <v>电脑平车</v>
          </cell>
          <cell r="D37">
            <v>1.6</v>
          </cell>
          <cell r="E37">
            <v>1.9</v>
          </cell>
          <cell r="F37" t="str">
            <v>D2</v>
          </cell>
          <cell r="G37">
            <v>1895</v>
          </cell>
          <cell r="H37">
            <v>6.7999999999999996E-3</v>
          </cell>
        </row>
        <row r="38">
          <cell r="B38" t="str">
            <v>手工量剪后领挂耳*1</v>
          </cell>
          <cell r="C38" t="str">
            <v>手工</v>
          </cell>
          <cell r="D38">
            <v>1.8</v>
          </cell>
          <cell r="E38">
            <v>2</v>
          </cell>
          <cell r="F38" t="str">
            <v>E1</v>
          </cell>
          <cell r="G38">
            <v>1800</v>
          </cell>
          <cell r="H38">
            <v>6.1999999999999998E-3</v>
          </cell>
        </row>
        <row r="39">
          <cell r="B39" t="str">
            <v>实样烫里领底止口*1</v>
          </cell>
          <cell r="C39" t="str">
            <v>中烫（气烫）</v>
          </cell>
          <cell r="D39">
            <v>14.5</v>
          </cell>
          <cell r="E39">
            <v>16.399999999999999</v>
          </cell>
          <cell r="F39" t="str">
            <v>D1</v>
          </cell>
          <cell r="G39">
            <v>220</v>
          </cell>
          <cell r="H39">
            <v>5.74E-2</v>
          </cell>
        </row>
        <row r="40">
          <cell r="B40" t="str">
            <v>===============</v>
          </cell>
          <cell r="C40" t="str">
            <v>中烫（气烫）</v>
          </cell>
          <cell r="D40">
            <v>0</v>
          </cell>
          <cell r="E40">
            <v>0</v>
          </cell>
          <cell r="F40" t="str">
            <v>D1</v>
          </cell>
          <cell r="G40">
            <v>0</v>
          </cell>
          <cell r="H40">
            <v>0</v>
          </cell>
        </row>
        <row r="41">
          <cell r="B41" t="str">
            <v>平车合里小领暗线*1</v>
          </cell>
          <cell r="C41" t="str">
            <v>电脑平车</v>
          </cell>
          <cell r="D41">
            <v>18.100000000000001</v>
          </cell>
          <cell r="E41">
            <v>20.5</v>
          </cell>
          <cell r="F41" t="str">
            <v>C3</v>
          </cell>
          <cell r="G41">
            <v>176</v>
          </cell>
          <cell r="H41">
            <v>8.4099999999999994E-2</v>
          </cell>
        </row>
        <row r="42">
          <cell r="B42" t="str">
            <v>平车合面小领暗线*1</v>
          </cell>
          <cell r="C42" t="str">
            <v>电脑平车</v>
          </cell>
          <cell r="D42">
            <v>18.100000000000001</v>
          </cell>
          <cell r="E42">
            <v>20.5</v>
          </cell>
          <cell r="F42" t="str">
            <v>C3</v>
          </cell>
          <cell r="G42">
            <v>176</v>
          </cell>
          <cell r="H42">
            <v>8.4099999999999994E-2</v>
          </cell>
        </row>
        <row r="43">
          <cell r="B43" t="str">
            <v>平车压面小领明边线*1</v>
          </cell>
          <cell r="C43" t="str">
            <v>电脑平车</v>
          </cell>
          <cell r="D43">
            <v>12.8</v>
          </cell>
          <cell r="E43">
            <v>14.6</v>
          </cell>
          <cell r="F43" t="str">
            <v>C4</v>
          </cell>
          <cell r="G43">
            <v>247</v>
          </cell>
          <cell r="H43">
            <v>6.13E-2</v>
          </cell>
        </row>
        <row r="44">
          <cell r="B44" t="str">
            <v>双针压里小领双明线*1（分刀压脚）</v>
          </cell>
          <cell r="C44" t="str">
            <v>电脑双针平车</v>
          </cell>
          <cell r="D44">
            <v>15.1</v>
          </cell>
          <cell r="E44">
            <v>17.399999999999999</v>
          </cell>
          <cell r="F44" t="str">
            <v>C4</v>
          </cell>
          <cell r="G44">
            <v>207</v>
          </cell>
          <cell r="H44">
            <v>7.3099999999999998E-2</v>
          </cell>
        </row>
        <row r="45">
          <cell r="B45" t="str">
            <v>自动模板合领三边暗线连画面领底实样线点三刀眼位*1（不含机器时间、一个模板两件）</v>
          </cell>
          <cell r="C45" t="str">
            <v>全自动模板机</v>
          </cell>
          <cell r="D45">
            <v>28.8</v>
          </cell>
          <cell r="E45">
            <v>31.9</v>
          </cell>
          <cell r="F45" t="str">
            <v>D4</v>
          </cell>
          <cell r="G45">
            <v>113</v>
          </cell>
          <cell r="H45">
            <v>0.1212</v>
          </cell>
        </row>
        <row r="46">
          <cell r="B46" t="str">
            <v>手工翻领两端*1</v>
          </cell>
          <cell r="C46" t="str">
            <v>手工</v>
          </cell>
          <cell r="D46">
            <v>12.7</v>
          </cell>
          <cell r="E46">
            <v>14</v>
          </cell>
          <cell r="F46" t="str">
            <v>E3</v>
          </cell>
          <cell r="G46">
            <v>257</v>
          </cell>
          <cell r="H46">
            <v>4.6199999999999998E-2</v>
          </cell>
        </row>
        <row r="47">
          <cell r="B47" t="str">
            <v>整烫大领顶止口*1</v>
          </cell>
          <cell r="C47" t="str">
            <v>中烫（气烫）</v>
          </cell>
          <cell r="D47">
            <v>15.9</v>
          </cell>
          <cell r="E47">
            <v>17.899999999999999</v>
          </cell>
          <cell r="F47" t="str">
            <v>D3</v>
          </cell>
          <cell r="G47">
            <v>201</v>
          </cell>
          <cell r="H47">
            <v>6.6199999999999995E-2</v>
          </cell>
        </row>
        <row r="48">
          <cell r="B48" t="str">
            <v>花样机订里小领主标连尺码标一周明线*1（车台定位）</v>
          </cell>
          <cell r="C48" t="str">
            <v>电脑平车</v>
          </cell>
          <cell r="D48">
            <v>20.100000000000001</v>
          </cell>
          <cell r="E48">
            <v>22.6</v>
          </cell>
          <cell r="F48" t="str">
            <v>C3</v>
          </cell>
          <cell r="G48">
            <v>159</v>
          </cell>
          <cell r="H48">
            <v>9.2700000000000005E-2</v>
          </cell>
        </row>
        <row r="49">
          <cell r="B49" t="str">
            <v>3-袖子</v>
          </cell>
        </row>
        <row r="50">
          <cell r="B50" t="str">
            <v>实样折烫袖克夫一边止口*4</v>
          </cell>
          <cell r="C50" t="str">
            <v>中烫（气烫）</v>
          </cell>
          <cell r="D50">
            <v>39.299999999999997</v>
          </cell>
          <cell r="E50">
            <v>44.2</v>
          </cell>
          <cell r="F50" t="str">
            <v>D1</v>
          </cell>
          <cell r="G50">
            <v>81</v>
          </cell>
          <cell r="H50">
            <v>0.1547</v>
          </cell>
        </row>
        <row r="51">
          <cell r="B51" t="str">
            <v>自动模板运袖克夫三边暗线*2（一个模板9个 不含机器时间、多余止口一边出 ）</v>
          </cell>
          <cell r="C51" t="str">
            <v>全自动激光模板机</v>
          </cell>
          <cell r="D51">
            <v>18.2</v>
          </cell>
          <cell r="E51">
            <v>20.100000000000001</v>
          </cell>
          <cell r="F51" t="str">
            <v>D4</v>
          </cell>
          <cell r="G51">
            <v>179</v>
          </cell>
          <cell r="H51">
            <v>7.6399999999999996E-2</v>
          </cell>
        </row>
        <row r="52">
          <cell r="B52" t="str">
            <v>刀车修袖克夫一端止口*2</v>
          </cell>
          <cell r="C52" t="str">
            <v>无针切刀车</v>
          </cell>
          <cell r="D52">
            <v>9.1999999999999993</v>
          </cell>
          <cell r="E52">
            <v>10.199999999999999</v>
          </cell>
          <cell r="F52" t="str">
            <v>D2</v>
          </cell>
          <cell r="G52">
            <v>353</v>
          </cell>
          <cell r="H52">
            <v>3.6700000000000003E-2</v>
          </cell>
        </row>
        <row r="53">
          <cell r="B53" t="str">
            <v>手工翻袖克夫*2（套起做）</v>
          </cell>
          <cell r="C53" t="str">
            <v>手工</v>
          </cell>
          <cell r="D53">
            <v>18.899999999999999</v>
          </cell>
          <cell r="E53">
            <v>20.9</v>
          </cell>
          <cell r="F53" t="str">
            <v>E2</v>
          </cell>
          <cell r="G53">
            <v>172</v>
          </cell>
          <cell r="H53">
            <v>6.6900000000000001E-2</v>
          </cell>
        </row>
        <row r="54">
          <cell r="B54" t="str">
            <v>中烫整烫袖克夫*2</v>
          </cell>
          <cell r="C54" t="str">
            <v>中烫（气烫）</v>
          </cell>
          <cell r="D54">
            <v>22.6</v>
          </cell>
          <cell r="E54">
            <v>25.4</v>
          </cell>
          <cell r="F54" t="str">
            <v>D3</v>
          </cell>
          <cell r="G54">
            <v>142</v>
          </cell>
          <cell r="H54">
            <v>9.4E-2</v>
          </cell>
        </row>
        <row r="55">
          <cell r="B55" t="str">
            <v>双针平车单折大袖叉明线*2（车台定位）</v>
          </cell>
          <cell r="C55" t="str">
            <v>电脑双针平车</v>
          </cell>
          <cell r="D55">
            <v>23.5</v>
          </cell>
          <cell r="E55">
            <v>26.6</v>
          </cell>
          <cell r="F55" t="str">
            <v>C4</v>
          </cell>
          <cell r="G55">
            <v>135</v>
          </cell>
          <cell r="H55">
            <v>0.11169999999999999</v>
          </cell>
        </row>
        <row r="56">
          <cell r="B56" t="str">
            <v>平车合小袖上下节暗线*2</v>
          </cell>
          <cell r="C56" t="str">
            <v>电脑平车</v>
          </cell>
          <cell r="D56">
            <v>17.899999999999999</v>
          </cell>
          <cell r="E56">
            <v>21.8</v>
          </cell>
          <cell r="F56" t="str">
            <v>C1</v>
          </cell>
          <cell r="G56">
            <v>165</v>
          </cell>
          <cell r="H56">
            <v>8.5000000000000006E-2</v>
          </cell>
        </row>
        <row r="57">
          <cell r="B57" t="str">
            <v>双针平车压小袖上下节缝明线*2</v>
          </cell>
          <cell r="C57" t="str">
            <v>电脑双针平车</v>
          </cell>
          <cell r="D57">
            <v>10.199999999999999</v>
          </cell>
          <cell r="E57">
            <v>13.3</v>
          </cell>
          <cell r="F57" t="str">
            <v>C1</v>
          </cell>
          <cell r="G57">
            <v>271</v>
          </cell>
          <cell r="H57">
            <v>5.1900000000000002E-2</v>
          </cell>
        </row>
        <row r="58">
          <cell r="B58" t="str">
            <v>平车合后袖缝留袖叉*2（注意袖叉位）车台定位</v>
          </cell>
          <cell r="C58" t="str">
            <v>电脑平车</v>
          </cell>
          <cell r="D58">
            <v>40.799999999999997</v>
          </cell>
          <cell r="E58">
            <v>46.2</v>
          </cell>
          <cell r="F58" t="str">
            <v>C4</v>
          </cell>
          <cell r="G58">
            <v>78</v>
          </cell>
          <cell r="H58">
            <v>0.19400000000000001</v>
          </cell>
        </row>
        <row r="59">
          <cell r="B59" t="str">
            <v>双针平车压后袖缝明线*2（袖叉位置重线）</v>
          </cell>
          <cell r="C59" t="str">
            <v>电脑双针平车</v>
          </cell>
          <cell r="D59">
            <v>37.200000000000003</v>
          </cell>
          <cell r="E59">
            <v>43</v>
          </cell>
          <cell r="F59" t="str">
            <v>C4</v>
          </cell>
          <cell r="G59">
            <v>84</v>
          </cell>
          <cell r="H59">
            <v>0.18060000000000001</v>
          </cell>
        </row>
        <row r="60">
          <cell r="B60" t="str">
            <v>平车折车小袖叉明线*2（车台定位）</v>
          </cell>
          <cell r="C60" t="str">
            <v>电脑平车</v>
          </cell>
          <cell r="D60">
            <v>20.7</v>
          </cell>
          <cell r="E60">
            <v>23.2</v>
          </cell>
          <cell r="F60" t="str">
            <v>C4</v>
          </cell>
          <cell r="G60">
            <v>155</v>
          </cell>
          <cell r="H60">
            <v>9.74E-2</v>
          </cell>
        </row>
        <row r="61">
          <cell r="B61" t="str">
            <v>平车固定袖叉打枣位*2（套起做）</v>
          </cell>
          <cell r="C61" t="str">
            <v>电脑平车</v>
          </cell>
          <cell r="D61">
            <v>9.1999999999999993</v>
          </cell>
          <cell r="E61">
            <v>10.199999999999999</v>
          </cell>
          <cell r="F61" t="str">
            <v>D4</v>
          </cell>
          <cell r="G61">
            <v>353</v>
          </cell>
          <cell r="H61">
            <v>3.8800000000000001E-2</v>
          </cell>
        </row>
        <row r="62">
          <cell r="B62" t="str">
            <v>平车对位合袖底缝*2</v>
          </cell>
          <cell r="C62" t="str">
            <v>电脑平车</v>
          </cell>
          <cell r="D62">
            <v>34.1</v>
          </cell>
          <cell r="E62">
            <v>38.6</v>
          </cell>
          <cell r="F62" t="str">
            <v>C4</v>
          </cell>
          <cell r="G62">
            <v>93</v>
          </cell>
          <cell r="H62">
            <v>0.16209999999999999</v>
          </cell>
        </row>
        <row r="63">
          <cell r="B63" t="str">
            <v>平车收袖口活折*2(套起做）</v>
          </cell>
          <cell r="C63" t="str">
            <v>电脑平车</v>
          </cell>
          <cell r="D63">
            <v>13.6</v>
          </cell>
          <cell r="E63">
            <v>15.1</v>
          </cell>
          <cell r="F63" t="str">
            <v>C1</v>
          </cell>
          <cell r="G63">
            <v>238</v>
          </cell>
          <cell r="H63">
            <v>5.8900000000000001E-2</v>
          </cell>
        </row>
        <row r="64">
          <cell r="B64" t="str">
            <v>平车对位上袖口暗线*2（比袖叉高低及修剪)</v>
          </cell>
          <cell r="C64" t="str">
            <v>电脑平车</v>
          </cell>
          <cell r="D64">
            <v>44.2</v>
          </cell>
          <cell r="E64">
            <v>49.6</v>
          </cell>
          <cell r="F64" t="str">
            <v>B2</v>
          </cell>
          <cell r="G64">
            <v>73</v>
          </cell>
          <cell r="H64">
            <v>0.21820000000000001</v>
          </cell>
        </row>
        <row r="65">
          <cell r="B65" t="str">
            <v>平车压袖口底连三边外缘边明线*2（修剪二端止口）</v>
          </cell>
          <cell r="C65" t="str">
            <v>电脑平车</v>
          </cell>
          <cell r="D65">
            <v>84.3</v>
          </cell>
          <cell r="E65">
            <v>95.1</v>
          </cell>
          <cell r="F65" t="str">
            <v>B4</v>
          </cell>
          <cell r="G65">
            <v>38</v>
          </cell>
          <cell r="H65">
            <v>0.4375</v>
          </cell>
        </row>
        <row r="66">
          <cell r="B66" t="str">
            <v>平车压袖克夫一周内明线*2</v>
          </cell>
          <cell r="C66" t="str">
            <v>电脑平车</v>
          </cell>
          <cell r="D66">
            <v>50.8</v>
          </cell>
          <cell r="E66">
            <v>57.8</v>
          </cell>
          <cell r="F66" t="str">
            <v>C4</v>
          </cell>
          <cell r="G66">
            <v>62</v>
          </cell>
          <cell r="H66">
            <v>0.24279999999999999</v>
          </cell>
        </row>
        <row r="67">
          <cell r="B67" t="str">
            <v>手工翻袖子到正面*2</v>
          </cell>
          <cell r="C67" t="str">
            <v>手工</v>
          </cell>
          <cell r="D67">
            <v>5.5</v>
          </cell>
          <cell r="E67">
            <v>6</v>
          </cell>
          <cell r="F67" t="str">
            <v>E1</v>
          </cell>
          <cell r="G67">
            <v>600</v>
          </cell>
          <cell r="H67">
            <v>1.8599999999999998E-2</v>
          </cell>
        </row>
        <row r="68">
          <cell r="B68" t="str">
            <v>4-前片</v>
          </cell>
        </row>
        <row r="69">
          <cell r="B69" t="str">
            <v>自动模板开前袋连激光开口*2（放两边袋布、袋唇、不含机器时间）</v>
          </cell>
          <cell r="C69" t="str">
            <v>全自动激光模板机</v>
          </cell>
          <cell r="D69">
            <v>61.7</v>
          </cell>
          <cell r="E69">
            <v>68.2</v>
          </cell>
          <cell r="F69" t="str">
            <v>C1</v>
          </cell>
          <cell r="G69">
            <v>53</v>
          </cell>
          <cell r="H69">
            <v>0.26600000000000001</v>
          </cell>
        </row>
        <row r="70">
          <cell r="B70" t="str">
            <v>平车还口车袋贴*2</v>
          </cell>
          <cell r="C70" t="str">
            <v>电脑平车</v>
          </cell>
          <cell r="D70">
            <v>27.4</v>
          </cell>
          <cell r="E70">
            <v>30.8</v>
          </cell>
          <cell r="F70" t="str">
            <v>C1</v>
          </cell>
          <cell r="G70">
            <v>117</v>
          </cell>
          <cell r="H70">
            <v>0.1201</v>
          </cell>
        </row>
        <row r="71">
          <cell r="B71" t="str">
            <v>手工翻前袋口连暗封袋角两端*2</v>
          </cell>
          <cell r="C71" t="str">
            <v>电脑平车</v>
          </cell>
          <cell r="D71">
            <v>30.8</v>
          </cell>
          <cell r="E71">
            <v>34.299999999999997</v>
          </cell>
          <cell r="F71" t="str">
            <v>B2</v>
          </cell>
          <cell r="G71">
            <v>105</v>
          </cell>
          <cell r="H71">
            <v>0.15090000000000001</v>
          </cell>
        </row>
        <row r="72">
          <cell r="B72" t="str">
            <v>平车压前袋口一边明线*2（套起做）</v>
          </cell>
          <cell r="C72" t="str">
            <v>电脑平车</v>
          </cell>
          <cell r="D72">
            <v>18.600000000000001</v>
          </cell>
          <cell r="E72">
            <v>21</v>
          </cell>
          <cell r="F72" t="str">
            <v>C4</v>
          </cell>
          <cell r="G72">
            <v>171</v>
          </cell>
          <cell r="H72">
            <v>8.8200000000000001E-2</v>
          </cell>
        </row>
        <row r="73">
          <cell r="B73" t="str">
            <v>平车压前袋口一边明线转角*2</v>
          </cell>
          <cell r="C73" t="str">
            <v>电脑平车</v>
          </cell>
          <cell r="D73">
            <v>31.6</v>
          </cell>
          <cell r="E73">
            <v>35.700000000000003</v>
          </cell>
          <cell r="F73" t="str">
            <v>B1</v>
          </cell>
          <cell r="G73">
            <v>101</v>
          </cell>
          <cell r="H73">
            <v>0.1535</v>
          </cell>
        </row>
        <row r="74">
          <cell r="B74" t="str">
            <v>平车转角合袋布一周*2</v>
          </cell>
          <cell r="C74" t="str">
            <v>电脑平车</v>
          </cell>
          <cell r="D74">
            <v>35</v>
          </cell>
          <cell r="E74">
            <v>39.9</v>
          </cell>
          <cell r="F74" t="str">
            <v>C1</v>
          </cell>
          <cell r="G74">
            <v>90</v>
          </cell>
          <cell r="H74">
            <v>0.15559999999999999</v>
          </cell>
        </row>
        <row r="75">
          <cell r="B75" t="str">
            <v>刀修前袋口止口连袋布一周*2</v>
          </cell>
          <cell r="C75" t="str">
            <v>无针切刀车</v>
          </cell>
          <cell r="D75">
            <v>22.7</v>
          </cell>
          <cell r="E75">
            <v>25.4</v>
          </cell>
          <cell r="F75" t="str">
            <v>D2</v>
          </cell>
          <cell r="G75">
            <v>142</v>
          </cell>
          <cell r="H75">
            <v>9.1399999999999995E-2</v>
          </cell>
        </row>
        <row r="76">
          <cell r="B76" t="str">
            <v>平车拉袋口连袋布一周捆条连剪断*2（分两次拉）</v>
          </cell>
          <cell r="C76" t="str">
            <v>电脑平车</v>
          </cell>
          <cell r="D76">
            <v>50.4</v>
          </cell>
          <cell r="E76">
            <v>57.2</v>
          </cell>
          <cell r="F76" t="str">
            <v>D4</v>
          </cell>
          <cell r="G76">
            <v>63</v>
          </cell>
          <cell r="H76">
            <v>0.21740000000000001</v>
          </cell>
        </row>
        <row r="77">
          <cell r="B77" t="str">
            <v>手工塞袋布两端捆条2*2（修剪捆条）</v>
          </cell>
          <cell r="C77" t="str">
            <v>手工</v>
          </cell>
          <cell r="D77">
            <v>39.4</v>
          </cell>
          <cell r="E77">
            <v>43.6</v>
          </cell>
          <cell r="F77" t="str">
            <v>E2</v>
          </cell>
          <cell r="G77">
            <v>83</v>
          </cell>
          <cell r="H77">
            <v>0.13950000000000001</v>
          </cell>
        </row>
        <row r="78">
          <cell r="B78" t="str">
            <v>平车合前担干暗线*2</v>
          </cell>
          <cell r="C78" t="str">
            <v>电脑平车</v>
          </cell>
          <cell r="D78">
            <v>26.4</v>
          </cell>
          <cell r="E78">
            <v>31.1</v>
          </cell>
          <cell r="F78" t="str">
            <v>C2</v>
          </cell>
          <cell r="G78">
            <v>116</v>
          </cell>
          <cell r="H78">
            <v>0.1244</v>
          </cell>
        </row>
        <row r="79">
          <cell r="B79" t="str">
            <v>双针平车压前担干明线*2</v>
          </cell>
          <cell r="C79" t="str">
            <v>电脑双针平车</v>
          </cell>
          <cell r="D79">
            <v>27.3</v>
          </cell>
          <cell r="E79">
            <v>32.799999999999997</v>
          </cell>
          <cell r="F79" t="str">
            <v>C3</v>
          </cell>
          <cell r="G79">
            <v>110</v>
          </cell>
          <cell r="H79">
            <v>0.13450000000000001</v>
          </cell>
        </row>
        <row r="80">
          <cell r="B80" t="str">
            <v>=============</v>
          </cell>
        </row>
        <row r="81">
          <cell r="B81" t="str">
            <v>平车带筒折压前中挂面一边散口明线*2</v>
          </cell>
          <cell r="C81" t="str">
            <v>电脑平车</v>
          </cell>
          <cell r="D81">
            <v>25.2</v>
          </cell>
          <cell r="E81">
            <v>30.2</v>
          </cell>
          <cell r="F81" t="str">
            <v>C1</v>
          </cell>
          <cell r="G81">
            <v>119</v>
          </cell>
          <cell r="H81">
            <v>0.1179</v>
          </cell>
        </row>
        <row r="82">
          <cell r="B82" t="str">
            <v>平车合挂面底暗线*2</v>
          </cell>
          <cell r="C82" t="str">
            <v>电脑平车</v>
          </cell>
          <cell r="D82">
            <v>21.2</v>
          </cell>
          <cell r="E82">
            <v>23.7</v>
          </cell>
          <cell r="F82" t="str">
            <v>C2</v>
          </cell>
          <cell r="G82">
            <v>152</v>
          </cell>
          <cell r="H82">
            <v>9.4799999999999995E-2</v>
          </cell>
        </row>
        <row r="83">
          <cell r="B83" t="str">
            <v>平车运下摆咀暗线连打刀口*2（车台定位）</v>
          </cell>
          <cell r="C83" t="str">
            <v>电脑平车</v>
          </cell>
          <cell r="D83">
            <v>20.399999999999999</v>
          </cell>
          <cell r="E83">
            <v>24.2</v>
          </cell>
          <cell r="F83" t="str">
            <v>C4</v>
          </cell>
          <cell r="G83">
            <v>149</v>
          </cell>
          <cell r="H83">
            <v>0.1016</v>
          </cell>
        </row>
        <row r="84">
          <cell r="B84" t="str">
            <v>自动模板落前片门襟转角暗线*2（不含机器时间）</v>
          </cell>
          <cell r="C84" t="str">
            <v>全自动模板机</v>
          </cell>
          <cell r="D84">
            <v>32.6</v>
          </cell>
          <cell r="E84">
            <v>36.1</v>
          </cell>
          <cell r="F84" t="str">
            <v>C1</v>
          </cell>
          <cell r="G84">
            <v>100</v>
          </cell>
          <cell r="H84">
            <v>0.14080000000000001</v>
          </cell>
        </row>
        <row r="85">
          <cell r="B85" t="str">
            <v>中烫门襟缝开骨连翻领角、下摆咀*2</v>
          </cell>
          <cell r="C85" t="str">
            <v>中烫（气烫）</v>
          </cell>
          <cell r="D85">
            <v>30.7</v>
          </cell>
          <cell r="E85">
            <v>34.5</v>
          </cell>
          <cell r="F85" t="str">
            <v>D2</v>
          </cell>
          <cell r="G85">
            <v>104</v>
          </cell>
          <cell r="H85">
            <v>0.1242</v>
          </cell>
        </row>
        <row r="86">
          <cell r="B86" t="str">
            <v>双针压门襟转角明线*2（止口已中烫）</v>
          </cell>
          <cell r="C86" t="str">
            <v>电脑双针平车</v>
          </cell>
          <cell r="D86">
            <v>52.9</v>
          </cell>
          <cell r="E86">
            <v>61</v>
          </cell>
          <cell r="F86" t="str">
            <v>C4</v>
          </cell>
          <cell r="G86">
            <v>59</v>
          </cell>
          <cell r="H86">
            <v>0.25619999999999998</v>
          </cell>
        </row>
        <row r="87">
          <cell r="B87" t="str">
            <v>平车固定挂面领圈连小肩位*2</v>
          </cell>
          <cell r="C87" t="str">
            <v>电脑平车</v>
          </cell>
          <cell r="D87">
            <v>20.7</v>
          </cell>
          <cell r="E87">
            <v>23.4</v>
          </cell>
          <cell r="F87" t="str">
            <v>D4</v>
          </cell>
          <cell r="G87">
            <v>154</v>
          </cell>
          <cell r="H87">
            <v>8.8900000000000007E-2</v>
          </cell>
        </row>
        <row r="88">
          <cell r="B88" t="str">
            <v>平车固定袋布两端于挂面2*2</v>
          </cell>
          <cell r="C88" t="str">
            <v>电脑平车</v>
          </cell>
          <cell r="D88">
            <v>23</v>
          </cell>
          <cell r="E88">
            <v>25.4</v>
          </cell>
          <cell r="F88" t="str">
            <v>D4</v>
          </cell>
          <cell r="G88">
            <v>142</v>
          </cell>
          <cell r="H88">
            <v>9.6500000000000002E-2</v>
          </cell>
        </row>
        <row r="89">
          <cell r="B89" t="str">
            <v>5-后片</v>
          </cell>
        </row>
        <row r="90">
          <cell r="B90" t="str">
            <v>平车合后中缝*1</v>
          </cell>
          <cell r="C90" t="str">
            <v>电脑平车</v>
          </cell>
          <cell r="D90">
            <v>16.8</v>
          </cell>
          <cell r="E90">
            <v>19</v>
          </cell>
          <cell r="F90" t="str">
            <v>C2</v>
          </cell>
          <cell r="G90">
            <v>189</v>
          </cell>
          <cell r="H90">
            <v>7.5999999999999998E-2</v>
          </cell>
        </row>
        <row r="91">
          <cell r="B91" t="str">
            <v>双针平车压后中缝明线*1</v>
          </cell>
          <cell r="C91" t="str">
            <v>电脑双针平车</v>
          </cell>
          <cell r="D91">
            <v>14.4</v>
          </cell>
          <cell r="E91">
            <v>18.2</v>
          </cell>
          <cell r="F91" t="str">
            <v>C2</v>
          </cell>
          <cell r="G91">
            <v>198</v>
          </cell>
          <cell r="H91">
            <v>7.2800000000000004E-2</v>
          </cell>
        </row>
        <row r="92">
          <cell r="B92" t="str">
            <v>平车对位合后担干*1</v>
          </cell>
          <cell r="C92" t="str">
            <v>电脑平车</v>
          </cell>
          <cell r="D92">
            <v>19.5</v>
          </cell>
          <cell r="E92">
            <v>22</v>
          </cell>
          <cell r="F92" t="str">
            <v>C3</v>
          </cell>
          <cell r="G92">
            <v>164</v>
          </cell>
          <cell r="H92">
            <v>9.0200000000000002E-2</v>
          </cell>
        </row>
        <row r="93">
          <cell r="B93" t="str">
            <v>双针平车压后担干明线*1</v>
          </cell>
          <cell r="C93" t="str">
            <v>电脑双针平车</v>
          </cell>
          <cell r="D93">
            <v>17.5</v>
          </cell>
          <cell r="E93">
            <v>21.7</v>
          </cell>
          <cell r="F93" t="str">
            <v>C3</v>
          </cell>
          <cell r="G93">
            <v>166</v>
          </cell>
          <cell r="H93">
            <v>8.8999999999999996E-2</v>
          </cell>
        </row>
        <row r="94">
          <cell r="B94" t="str">
            <v>6-组合</v>
          </cell>
        </row>
        <row r="95">
          <cell r="B95" t="str">
            <v>挂片/配补片</v>
          </cell>
          <cell r="C95" t="str">
            <v>手工</v>
          </cell>
          <cell r="D95">
            <v>43.9</v>
          </cell>
          <cell r="E95">
            <v>48.5</v>
          </cell>
          <cell r="F95" t="str">
            <v>E3</v>
          </cell>
          <cell r="G95">
            <v>74</v>
          </cell>
          <cell r="H95">
            <v>0.16009999999999999</v>
          </cell>
        </row>
        <row r="96">
          <cell r="B96" t="str">
            <v>平车对位合肩缝连袖底缝*2</v>
          </cell>
          <cell r="C96" t="str">
            <v>电脑平车</v>
          </cell>
          <cell r="D96">
            <v>48.3</v>
          </cell>
          <cell r="E96">
            <v>54.3</v>
          </cell>
          <cell r="F96" t="str">
            <v>C4</v>
          </cell>
          <cell r="G96">
            <v>66</v>
          </cell>
          <cell r="H96">
            <v>0.2281</v>
          </cell>
        </row>
        <row r="97">
          <cell r="B97" t="str">
            <v>平车订侧缝洗标、ID标*1（车台定位）</v>
          </cell>
          <cell r="C97" t="str">
            <v>电脑平车</v>
          </cell>
          <cell r="D97">
            <v>13.3</v>
          </cell>
          <cell r="E97">
            <v>16.399999999999999</v>
          </cell>
          <cell r="F97" t="str">
            <v>C1</v>
          </cell>
          <cell r="G97">
            <v>220</v>
          </cell>
          <cell r="H97">
            <v>6.4000000000000001E-2</v>
          </cell>
        </row>
        <row r="98">
          <cell r="B98" t="str">
            <v>双针平车压肩缝、侧缝明线*2</v>
          </cell>
          <cell r="C98" t="str">
            <v>电脑双针平车</v>
          </cell>
          <cell r="D98">
            <v>43.5</v>
          </cell>
          <cell r="E98">
            <v>50.2</v>
          </cell>
          <cell r="F98" t="str">
            <v>C4</v>
          </cell>
          <cell r="G98">
            <v>72</v>
          </cell>
          <cell r="H98">
            <v>0.21079999999999999</v>
          </cell>
        </row>
        <row r="99">
          <cell r="B99" t="str">
            <v>平车订后中挂耳、透明挂耳连剪断*1</v>
          </cell>
          <cell r="C99" t="str">
            <v>电脑平车</v>
          </cell>
          <cell r="D99">
            <v>16.8</v>
          </cell>
          <cell r="E99">
            <v>18.8</v>
          </cell>
          <cell r="F99" t="str">
            <v>C1</v>
          </cell>
          <cell r="G99">
            <v>191</v>
          </cell>
          <cell r="H99">
            <v>7.3300000000000004E-2</v>
          </cell>
        </row>
        <row r="100">
          <cell r="B100" t="str">
            <v>平车对位上领暗线*1</v>
          </cell>
          <cell r="C100" t="str">
            <v>电脑平车</v>
          </cell>
          <cell r="D100">
            <v>36</v>
          </cell>
          <cell r="E100">
            <v>40.5</v>
          </cell>
          <cell r="F100" t="str">
            <v>B2</v>
          </cell>
          <cell r="G100">
            <v>89</v>
          </cell>
          <cell r="H100">
            <v>0.1782</v>
          </cell>
        </row>
        <row r="101">
          <cell r="B101" t="str">
            <v>平车压领底明线*1</v>
          </cell>
          <cell r="C101" t="str">
            <v>电脑平车</v>
          </cell>
          <cell r="D101">
            <v>43.1</v>
          </cell>
          <cell r="E101">
            <v>50.6</v>
          </cell>
          <cell r="F101" t="str">
            <v>B4</v>
          </cell>
          <cell r="G101">
            <v>71</v>
          </cell>
          <cell r="H101">
            <v>0.23280000000000001</v>
          </cell>
        </row>
        <row r="102">
          <cell r="B102" t="str">
            <v>双针平车压领三边明线*1</v>
          </cell>
          <cell r="C102" t="str">
            <v>电脑双针平车</v>
          </cell>
          <cell r="D102">
            <v>31.9</v>
          </cell>
          <cell r="E102">
            <v>36.4</v>
          </cell>
          <cell r="F102" t="str">
            <v>C4</v>
          </cell>
          <cell r="G102">
            <v>99</v>
          </cell>
          <cell r="H102">
            <v>0.15290000000000001</v>
          </cell>
        </row>
        <row r="103">
          <cell r="B103" t="str">
            <v>平车对位上圆袖*2</v>
          </cell>
          <cell r="C103" t="str">
            <v>电脑平车</v>
          </cell>
          <cell r="D103">
            <v>64.2</v>
          </cell>
          <cell r="E103">
            <v>72.5</v>
          </cell>
          <cell r="F103" t="str">
            <v>B4</v>
          </cell>
          <cell r="G103">
            <v>50</v>
          </cell>
          <cell r="H103">
            <v>0.33350000000000002</v>
          </cell>
        </row>
        <row r="104">
          <cell r="B104" t="str">
            <v>双针平车压圆袖袖圈明线*2</v>
          </cell>
          <cell r="C104" t="str">
            <v>电脑平车（同步车）</v>
          </cell>
          <cell r="D104">
            <v>48.2</v>
          </cell>
          <cell r="E104">
            <v>54.7</v>
          </cell>
          <cell r="F104" t="str">
            <v>C4</v>
          </cell>
          <cell r="G104">
            <v>66</v>
          </cell>
          <cell r="H104">
            <v>0.22969999999999999</v>
          </cell>
        </row>
        <row r="105">
          <cell r="B105" t="str">
            <v>平车还口车下摆明线*2</v>
          </cell>
          <cell r="C105" t="str">
            <v>电脑平车</v>
          </cell>
          <cell r="D105">
            <v>49.9</v>
          </cell>
          <cell r="E105">
            <v>59.3</v>
          </cell>
          <cell r="F105" t="str">
            <v>B1</v>
          </cell>
          <cell r="G105">
            <v>61</v>
          </cell>
          <cell r="H105">
            <v>0.25509999999999999</v>
          </cell>
        </row>
        <row r="106">
          <cell r="B106" t="str">
            <v>检验</v>
          </cell>
          <cell r="C106" t="str">
            <v>手工</v>
          </cell>
          <cell r="D106">
            <v>46.8</v>
          </cell>
          <cell r="E106">
            <v>51.7</v>
          </cell>
          <cell r="F106" t="str">
            <v>E4</v>
          </cell>
          <cell r="G106">
            <v>70</v>
          </cell>
          <cell r="H106">
            <v>0.17580000000000001</v>
          </cell>
        </row>
        <row r="107">
          <cell r="B107" t="str">
            <v>7-专机</v>
          </cell>
        </row>
        <row r="108">
          <cell r="B108" t="str">
            <v>实样点门襟、袖克夫平眼位*7</v>
          </cell>
          <cell r="C108" t="str">
            <v>手工</v>
          </cell>
          <cell r="D108">
            <v>32.799999999999997</v>
          </cell>
          <cell r="E108">
            <v>36.200000000000003</v>
          </cell>
          <cell r="F108" t="str">
            <v>E1</v>
          </cell>
          <cell r="G108">
            <v>99</v>
          </cell>
          <cell r="H108">
            <v>0.11219999999999999</v>
          </cell>
        </row>
        <row r="109">
          <cell r="B109" t="str">
            <v>开门襟袖口平眼*7</v>
          </cell>
          <cell r="C109" t="str">
            <v>电脑单头平眼车</v>
          </cell>
          <cell r="D109">
            <v>37.299999999999997</v>
          </cell>
          <cell r="E109">
            <v>41.2</v>
          </cell>
          <cell r="F109" t="str">
            <v>E4</v>
          </cell>
          <cell r="G109">
            <v>87</v>
          </cell>
          <cell r="H109">
            <v>0.1401</v>
          </cell>
        </row>
        <row r="110">
          <cell r="B110" t="str">
            <v>手工点手工门襟袖克夫纽扣位*7</v>
          </cell>
          <cell r="C110" t="str">
            <v>手工</v>
          </cell>
          <cell r="D110">
            <v>30.6</v>
          </cell>
          <cell r="E110">
            <v>33.799999999999997</v>
          </cell>
          <cell r="F110" t="str">
            <v>E2</v>
          </cell>
          <cell r="G110">
            <v>107</v>
          </cell>
          <cell r="H110">
            <v>0.1082</v>
          </cell>
        </row>
        <row r="111">
          <cell r="B111" t="str">
            <v>机订门襟、袖克夫纽扣*7</v>
          </cell>
          <cell r="C111" t="str">
            <v>半自动钉扣车</v>
          </cell>
          <cell r="D111">
            <v>37.299999999999997</v>
          </cell>
          <cell r="E111">
            <v>41.2</v>
          </cell>
          <cell r="F111" t="str">
            <v>E4</v>
          </cell>
          <cell r="G111">
            <v>87</v>
          </cell>
          <cell r="H111">
            <v>0.1401</v>
          </cell>
        </row>
        <row r="112">
          <cell r="B112" t="str">
            <v>手工扣整件纽扣*7</v>
          </cell>
          <cell r="C112" t="str">
            <v>手工</v>
          </cell>
          <cell r="D112">
            <v>24.7</v>
          </cell>
          <cell r="E112">
            <v>27.2</v>
          </cell>
          <cell r="F112" t="str">
            <v>E1</v>
          </cell>
          <cell r="G112">
            <v>132</v>
          </cell>
          <cell r="H112">
            <v>8.43E-2</v>
          </cell>
        </row>
        <row r="113">
          <cell r="B113" t="str">
            <v>打袖叉枣*2</v>
          </cell>
          <cell r="C113" t="str">
            <v>电脑打枣车</v>
          </cell>
          <cell r="D113">
            <v>13.3</v>
          </cell>
          <cell r="E113">
            <v>14.7</v>
          </cell>
          <cell r="F113" t="str">
            <v>E4</v>
          </cell>
          <cell r="G113">
            <v>245</v>
          </cell>
          <cell r="H113">
            <v>0.05</v>
          </cell>
        </row>
        <row r="114">
          <cell r="B114" t="str">
            <v>8-尾部</v>
          </cell>
        </row>
        <row r="115">
          <cell r="B115" t="str">
            <v>大烫</v>
          </cell>
          <cell r="C115" t="str">
            <v>整烫（尾部）</v>
          </cell>
          <cell r="D115">
            <v>55.9</v>
          </cell>
          <cell r="E115">
            <v>62.8</v>
          </cell>
          <cell r="F115" t="str">
            <v>B1</v>
          </cell>
          <cell r="G115">
            <v>57</v>
          </cell>
          <cell r="H115">
            <v>0.27</v>
          </cell>
        </row>
        <row r="116">
          <cell r="B116" t="str">
            <v>检验</v>
          </cell>
          <cell r="C116" t="str">
            <v>尾查（成品）</v>
          </cell>
          <cell r="D116">
            <v>59.9</v>
          </cell>
          <cell r="E116">
            <v>66.2</v>
          </cell>
          <cell r="F116" t="str">
            <v>E4</v>
          </cell>
          <cell r="G116">
            <v>54</v>
          </cell>
          <cell r="H116">
            <v>0.22509999999999999</v>
          </cell>
        </row>
        <row r="117">
          <cell r="B117" t="str">
            <v>分PO</v>
          </cell>
          <cell r="C117" t="str">
            <v>手工</v>
          </cell>
          <cell r="D117">
            <v>2.9</v>
          </cell>
          <cell r="E117">
            <v>3.2</v>
          </cell>
          <cell r="F117" t="str">
            <v>E1</v>
          </cell>
          <cell r="G117">
            <v>1125</v>
          </cell>
          <cell r="H117">
            <v>9.9000000000000008E-3</v>
          </cell>
        </row>
        <row r="118">
          <cell r="B118" t="str">
            <v>查码</v>
          </cell>
          <cell r="C118" t="str">
            <v>手工</v>
          </cell>
          <cell r="D118">
            <v>3.7</v>
          </cell>
          <cell r="E118">
            <v>4.0999999999999996</v>
          </cell>
          <cell r="F118" t="str">
            <v>EE</v>
          </cell>
          <cell r="G118">
            <v>878</v>
          </cell>
          <cell r="H118">
            <v>1.29E-2</v>
          </cell>
        </row>
        <row r="119">
          <cell r="B119" t="str">
            <v>贴吊牌贴纸*1</v>
          </cell>
          <cell r="C119" t="str">
            <v>手工</v>
          </cell>
          <cell r="D119">
            <v>5.9</v>
          </cell>
          <cell r="E119">
            <v>6.5</v>
          </cell>
          <cell r="F119" t="str">
            <v>E1</v>
          </cell>
          <cell r="G119">
            <v>554</v>
          </cell>
          <cell r="H119">
            <v>2.0199999999999999E-2</v>
          </cell>
        </row>
        <row r="120">
          <cell r="B120" t="str">
            <v>放备用扣入袋*1</v>
          </cell>
          <cell r="C120" t="str">
            <v>手工</v>
          </cell>
          <cell r="D120">
            <v>5.0999999999999996</v>
          </cell>
          <cell r="E120">
            <v>5.6</v>
          </cell>
          <cell r="F120" t="str">
            <v>E1</v>
          </cell>
          <cell r="G120">
            <v>643</v>
          </cell>
          <cell r="H120">
            <v>1.7399999999999999E-2</v>
          </cell>
        </row>
        <row r="121">
          <cell r="B121" t="str">
            <v>手工穿挂吊牌连穿挂备用扣*1</v>
          </cell>
          <cell r="C121" t="str">
            <v>手工</v>
          </cell>
          <cell r="D121">
            <v>13.1</v>
          </cell>
          <cell r="E121">
            <v>14.5</v>
          </cell>
          <cell r="F121" t="str">
            <v>E1</v>
          </cell>
          <cell r="G121">
            <v>248</v>
          </cell>
          <cell r="H121">
            <v>4.4999999999999998E-2</v>
          </cell>
        </row>
        <row r="122">
          <cell r="B122" t="str">
            <v>分色/分码</v>
          </cell>
          <cell r="C122" t="str">
            <v>手工</v>
          </cell>
          <cell r="D122">
            <v>5.8</v>
          </cell>
          <cell r="E122">
            <v>6.4</v>
          </cell>
          <cell r="F122" t="str">
            <v>E1</v>
          </cell>
          <cell r="G122">
            <v>563</v>
          </cell>
          <cell r="H122">
            <v>1.9800000000000002E-2</v>
          </cell>
        </row>
        <row r="123">
          <cell r="B123" t="str">
            <v>包装搬运</v>
          </cell>
          <cell r="C123" t="str">
            <v>手工</v>
          </cell>
          <cell r="D123">
            <v>2.9</v>
          </cell>
          <cell r="E123">
            <v>3.2</v>
          </cell>
          <cell r="F123" t="str">
            <v>E1</v>
          </cell>
          <cell r="G123">
            <v>1125</v>
          </cell>
          <cell r="H123">
            <v>9.9000000000000008E-3</v>
          </cell>
        </row>
        <row r="124">
          <cell r="B124" t="str">
            <v>单件折叠(折叠袖子）</v>
          </cell>
          <cell r="C124" t="str">
            <v>手工</v>
          </cell>
          <cell r="D124">
            <v>13.1</v>
          </cell>
          <cell r="E124">
            <v>14.5</v>
          </cell>
          <cell r="F124" t="str">
            <v>E1</v>
          </cell>
          <cell r="G124">
            <v>248</v>
          </cell>
          <cell r="H124">
            <v>4.4999999999999998E-2</v>
          </cell>
        </row>
        <row r="125">
          <cell r="B125" t="str">
            <v>单件装袋自动封口*1（大袋）</v>
          </cell>
          <cell r="C125" t="str">
            <v>手工</v>
          </cell>
          <cell r="D125">
            <v>16</v>
          </cell>
          <cell r="E125">
            <v>17.7</v>
          </cell>
          <cell r="F125" t="str">
            <v>E1</v>
          </cell>
          <cell r="G125">
            <v>203</v>
          </cell>
          <cell r="H125">
            <v>5.4899999999999997E-2</v>
          </cell>
        </row>
        <row r="126">
          <cell r="B126" t="str">
            <v>装箱前检查包装</v>
          </cell>
          <cell r="C126" t="str">
            <v>手工</v>
          </cell>
          <cell r="D126">
            <v>1.4</v>
          </cell>
          <cell r="E126">
            <v>1.6</v>
          </cell>
          <cell r="F126" t="str">
            <v>EE</v>
          </cell>
          <cell r="G126">
            <v>2250</v>
          </cell>
          <cell r="H126">
            <v>5.1000000000000004E-3</v>
          </cell>
        </row>
        <row r="127">
          <cell r="B127" t="str">
            <v>验针</v>
          </cell>
          <cell r="C127" t="str">
            <v>手工</v>
          </cell>
          <cell r="D127">
            <v>3.8</v>
          </cell>
          <cell r="E127">
            <v>4.2</v>
          </cell>
          <cell r="F127" t="str">
            <v>EE</v>
          </cell>
          <cell r="G127">
            <v>857</v>
          </cell>
          <cell r="H127">
            <v>1.3299999999999999E-2</v>
          </cell>
        </row>
        <row r="128">
          <cell r="B128" t="str">
            <v>配比（1250件）</v>
          </cell>
          <cell r="C128" t="str">
            <v>手工</v>
          </cell>
          <cell r="D128">
            <v>4.5</v>
          </cell>
          <cell r="E128">
            <v>5</v>
          </cell>
          <cell r="F128" t="str">
            <v>E1</v>
          </cell>
          <cell r="G128">
            <v>720</v>
          </cell>
          <cell r="H128">
            <v>1.55E-2</v>
          </cell>
        </row>
        <row r="129">
          <cell r="B129" t="str">
            <v>独色独码装箱25件/箱(写箱号 、封箱、贴箱贴  装箱 放天地板 封箱 称箱 放箱)</v>
          </cell>
          <cell r="C129" t="str">
            <v>手工</v>
          </cell>
          <cell r="D129">
            <v>10.5</v>
          </cell>
          <cell r="E129">
            <v>11.6</v>
          </cell>
          <cell r="F129" t="str">
            <v>E1</v>
          </cell>
          <cell r="G129">
            <v>310</v>
          </cell>
          <cell r="H129">
            <v>3.5999999999999997E-2</v>
          </cell>
        </row>
        <row r="130">
          <cell r="B130" t="str">
            <v>拉箱入库</v>
          </cell>
          <cell r="C130" t="str">
            <v>手工</v>
          </cell>
          <cell r="D130">
            <v>0.9</v>
          </cell>
          <cell r="E130">
            <v>1</v>
          </cell>
          <cell r="F130" t="str">
            <v>EE</v>
          </cell>
          <cell r="G130">
            <v>3600</v>
          </cell>
          <cell r="H130">
            <v>3.2000000000000002E-3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40"/>
  <sheetViews>
    <sheetView tabSelected="1" topLeftCell="A103" zoomScale="115" zoomScaleNormal="115" workbookViewId="0">
      <selection activeCell="D143" sqref="D143"/>
    </sheetView>
  </sheetViews>
  <sheetFormatPr defaultColWidth="9" defaultRowHeight="14" customHeight="1"/>
  <cols>
    <col min="1" max="1" width="9.59765625" style="3" customWidth="1"/>
    <col min="2" max="2" width="20.1328125" style="3" customWidth="1"/>
    <col min="3" max="3" width="4.86328125" style="3" hidden="1" customWidth="1"/>
    <col min="4" max="4" width="25.9296875" style="4" customWidth="1"/>
    <col min="5" max="5" width="10.59765625" style="4" customWidth="1"/>
    <col min="6" max="6" width="7.59765625" style="4" customWidth="1"/>
    <col min="7" max="7" width="7.1328125" style="4" customWidth="1"/>
    <col min="8" max="9" width="7.59765625" style="4" customWidth="1"/>
    <col min="10" max="90" width="9" style="4"/>
    <col min="91" max="91" width="59.59765625" style="4" customWidth="1"/>
    <col min="92" max="16384" width="9" style="4"/>
  </cols>
  <sheetData>
    <row r="1" spans="1:91" s="1" customFormat="1" ht="25.5">
      <c r="A1" s="52" t="s">
        <v>0</v>
      </c>
      <c r="B1" s="53"/>
      <c r="C1" s="52"/>
      <c r="D1" s="54"/>
      <c r="E1" s="54"/>
      <c r="F1" s="54"/>
      <c r="G1" s="54"/>
      <c r="H1" s="54"/>
      <c r="I1" s="54"/>
    </row>
    <row r="2" spans="1:91" s="1" customFormat="1" ht="21">
      <c r="A2" s="55" t="s">
        <v>1</v>
      </c>
      <c r="B2" s="53"/>
      <c r="C2" s="55"/>
      <c r="D2" s="56"/>
      <c r="E2" s="56"/>
      <c r="F2" s="56"/>
      <c r="G2" s="56"/>
      <c r="H2" s="56"/>
      <c r="I2" s="56"/>
    </row>
    <row r="3" spans="1:91" s="1" customFormat="1" ht="13.15">
      <c r="A3" s="57" t="s">
        <v>2</v>
      </c>
      <c r="B3" s="58"/>
      <c r="C3" s="57"/>
      <c r="D3" s="59"/>
      <c r="E3" s="59"/>
      <c r="F3" s="59"/>
      <c r="G3" s="59"/>
      <c r="H3" s="59"/>
      <c r="I3" s="59"/>
    </row>
    <row r="4" spans="1:91" s="1" customFormat="1" ht="13.15">
      <c r="A4" s="43" t="s">
        <v>3</v>
      </c>
      <c r="B4" s="60" t="s">
        <v>4</v>
      </c>
      <c r="C4" s="61"/>
      <c r="D4" s="62"/>
      <c r="E4" s="62"/>
      <c r="F4" s="62"/>
      <c r="G4" s="82"/>
      <c r="H4" s="82"/>
      <c r="I4" s="82"/>
    </row>
    <row r="5" spans="1:91" s="1" customFormat="1" ht="13.15">
      <c r="A5" s="43" t="s">
        <v>5</v>
      </c>
      <c r="B5" s="58" t="s">
        <v>6</v>
      </c>
      <c r="C5" s="57"/>
      <c r="D5" s="59"/>
      <c r="E5" s="59"/>
      <c r="F5" s="59"/>
      <c r="G5" s="82"/>
      <c r="H5" s="82"/>
      <c r="I5" s="82"/>
    </row>
    <row r="6" spans="1:91" s="1" customFormat="1" ht="13.15">
      <c r="A6" s="43" t="s">
        <v>7</v>
      </c>
      <c r="B6" s="60" t="s">
        <v>4</v>
      </c>
      <c r="C6" s="61"/>
      <c r="D6" s="62"/>
      <c r="E6" s="62"/>
      <c r="F6" s="62"/>
      <c r="G6" s="82"/>
      <c r="H6" s="82"/>
      <c r="I6" s="82"/>
    </row>
    <row r="7" spans="1:91" s="1" customFormat="1" ht="12" customHeight="1">
      <c r="A7" s="43" t="s">
        <v>8</v>
      </c>
      <c r="B7" s="63" t="s">
        <v>9</v>
      </c>
      <c r="C7" s="64"/>
      <c r="D7" s="65"/>
      <c r="E7" s="65"/>
      <c r="F7" s="65"/>
      <c r="G7" s="82"/>
      <c r="H7" s="82"/>
      <c r="I7" s="82"/>
      <c r="CM7" s="35"/>
    </row>
    <row r="8" spans="1:91" s="1" customFormat="1" ht="12" customHeight="1">
      <c r="A8" s="43" t="s">
        <v>10</v>
      </c>
      <c r="B8" s="63"/>
      <c r="C8" s="64"/>
      <c r="D8" s="65"/>
      <c r="E8" s="65"/>
      <c r="F8" s="65"/>
      <c r="G8" s="82"/>
      <c r="H8" s="82"/>
      <c r="I8" s="82"/>
      <c r="CM8" s="35"/>
    </row>
    <row r="9" spans="1:91" s="1" customFormat="1" ht="13.15">
      <c r="A9" s="43" t="s">
        <v>11</v>
      </c>
      <c r="B9" s="58"/>
      <c r="C9" s="57"/>
      <c r="D9" s="59"/>
      <c r="E9" s="59"/>
      <c r="F9" s="59"/>
      <c r="G9" s="82"/>
      <c r="H9" s="82"/>
      <c r="I9" s="82"/>
    </row>
    <row r="10" spans="1:91" s="1" customFormat="1" ht="26.25">
      <c r="A10" s="44" t="s">
        <v>12</v>
      </c>
      <c r="B10" s="58">
        <f>SUM(G37:G49,G52:G68,G71:G90,G92:G95,G98:G107)</f>
        <v>2002.2</v>
      </c>
      <c r="C10" s="57"/>
      <c r="D10" s="59"/>
      <c r="E10" s="59"/>
      <c r="F10" s="59"/>
      <c r="G10" s="82"/>
      <c r="H10" s="82"/>
      <c r="I10" s="82"/>
    </row>
    <row r="11" spans="1:91" s="1" customFormat="1" ht="26.25">
      <c r="A11" s="44" t="s">
        <v>13</v>
      </c>
      <c r="B11" s="66">
        <f>60*60*10.5/B10</f>
        <v>18.879232843871701</v>
      </c>
      <c r="C11" s="67"/>
      <c r="D11" s="68"/>
      <c r="E11" s="68"/>
      <c r="F11" s="68"/>
      <c r="G11" s="82"/>
      <c r="H11" s="82"/>
      <c r="I11" s="82"/>
    </row>
    <row r="12" spans="1:91" s="1" customFormat="1" ht="13.15">
      <c r="A12" s="43" t="s">
        <v>14</v>
      </c>
      <c r="B12" s="58"/>
      <c r="C12" s="57"/>
      <c r="D12" s="59"/>
      <c r="E12" s="59"/>
      <c r="F12" s="59"/>
      <c r="G12" s="82"/>
      <c r="H12" s="82"/>
      <c r="I12" s="82"/>
    </row>
    <row r="13" spans="1:91" s="1" customFormat="1" ht="13.15">
      <c r="A13" s="43" t="s">
        <v>15</v>
      </c>
      <c r="B13" s="69"/>
      <c r="C13" s="70"/>
      <c r="D13" s="71"/>
      <c r="E13" s="71"/>
      <c r="F13" s="71"/>
      <c r="G13" s="82"/>
      <c r="H13" s="82"/>
      <c r="I13" s="82"/>
    </row>
    <row r="14" spans="1:91" s="1" customFormat="1" ht="26.25">
      <c r="A14" s="44" t="s">
        <v>16</v>
      </c>
      <c r="B14" s="58"/>
      <c r="C14" s="57"/>
      <c r="D14" s="59"/>
      <c r="E14" s="59"/>
      <c r="F14" s="59"/>
      <c r="G14" s="82"/>
      <c r="H14" s="82"/>
      <c r="I14" s="82"/>
    </row>
    <row r="15" spans="1:91" s="1" customFormat="1" ht="26.25">
      <c r="A15" s="44" t="s">
        <v>17</v>
      </c>
      <c r="B15" s="58"/>
      <c r="C15" s="57"/>
      <c r="D15" s="59"/>
      <c r="E15" s="59"/>
      <c r="F15" s="59"/>
      <c r="G15" s="82"/>
      <c r="H15" s="82"/>
      <c r="I15" s="82"/>
    </row>
    <row r="16" spans="1:91" s="1" customFormat="1" ht="26.25">
      <c r="A16" s="44" t="s">
        <v>18</v>
      </c>
      <c r="B16" s="58"/>
      <c r="C16" s="57"/>
      <c r="D16" s="59"/>
      <c r="E16" s="59"/>
      <c r="F16" s="59"/>
      <c r="G16" s="82"/>
      <c r="H16" s="82"/>
      <c r="I16" s="82"/>
    </row>
    <row r="17" spans="1:91" s="1" customFormat="1" ht="13.15">
      <c r="A17" s="44" t="s">
        <v>19</v>
      </c>
      <c r="B17" s="58"/>
      <c r="C17" s="57"/>
      <c r="D17" s="59"/>
      <c r="E17" s="59"/>
      <c r="F17" s="59"/>
      <c r="G17" s="82"/>
      <c r="H17" s="82"/>
      <c r="I17" s="82"/>
    </row>
    <row r="18" spans="1:91" s="1" customFormat="1" ht="12" customHeight="1">
      <c r="A18" s="43" t="s">
        <v>20</v>
      </c>
      <c r="B18" s="63"/>
      <c r="C18" s="64"/>
      <c r="D18" s="65"/>
      <c r="E18" s="65"/>
      <c r="F18" s="65"/>
      <c r="G18" s="82"/>
      <c r="H18" s="82"/>
      <c r="I18" s="82"/>
      <c r="CM18" s="35"/>
    </row>
    <row r="19" spans="1:91" s="1" customFormat="1" ht="12" customHeight="1">
      <c r="A19" s="43" t="s">
        <v>21</v>
      </c>
      <c r="B19" s="58" t="s">
        <v>22</v>
      </c>
      <c r="C19" s="57"/>
      <c r="D19" s="59"/>
      <c r="E19" s="59"/>
      <c r="F19" s="59"/>
      <c r="G19" s="82"/>
      <c r="H19" s="82"/>
      <c r="I19" s="82"/>
    </row>
    <row r="20" spans="1:91" s="1" customFormat="1" ht="26.25">
      <c r="A20" s="45" t="s">
        <v>23</v>
      </c>
      <c r="B20" s="46" t="s">
        <v>24</v>
      </c>
      <c r="C20" s="45"/>
      <c r="D20" s="8"/>
      <c r="E20" s="8" t="s">
        <v>25</v>
      </c>
      <c r="F20" s="8" t="s">
        <v>26</v>
      </c>
      <c r="G20" s="8" t="s">
        <v>27</v>
      </c>
      <c r="H20" s="8" t="s">
        <v>28</v>
      </c>
      <c r="I20" s="8" t="s">
        <v>29</v>
      </c>
    </row>
    <row r="21" spans="1:91" ht="11.65">
      <c r="A21" s="18"/>
      <c r="B21" s="39" t="s">
        <v>30</v>
      </c>
      <c r="C21" s="47"/>
      <c r="D21" s="13" t="s">
        <v>30</v>
      </c>
      <c r="E21" s="13"/>
      <c r="F21" s="13"/>
      <c r="G21" s="13"/>
      <c r="H21" s="13"/>
      <c r="I21" s="13"/>
    </row>
    <row r="22" spans="1:91" ht="11.65">
      <c r="A22" s="18">
        <v>1</v>
      </c>
      <c r="B22" s="19" t="s">
        <v>31</v>
      </c>
      <c r="C22" s="48">
        <v>1</v>
      </c>
      <c r="D22" s="16" t="s">
        <v>32</v>
      </c>
      <c r="E22" s="16" t="s">
        <v>33</v>
      </c>
      <c r="F22" s="17">
        <v>8.8000000000000007</v>
      </c>
      <c r="G22" s="17">
        <v>9.9</v>
      </c>
      <c r="H22" s="15" t="s">
        <v>34</v>
      </c>
      <c r="I22" s="32">
        <v>364</v>
      </c>
    </row>
    <row r="23" spans="1:91" ht="11.65">
      <c r="A23" s="18">
        <v>155</v>
      </c>
      <c r="B23" s="19" t="s">
        <v>35</v>
      </c>
      <c r="C23" s="48">
        <v>2</v>
      </c>
      <c r="D23" s="21" t="s">
        <v>36</v>
      </c>
      <c r="E23" s="21" t="s">
        <v>37</v>
      </c>
      <c r="F23" s="17">
        <v>30.1</v>
      </c>
      <c r="G23" s="17">
        <v>33.299999999999997</v>
      </c>
      <c r="H23" s="15" t="s">
        <v>38</v>
      </c>
      <c r="I23" s="32">
        <v>108</v>
      </c>
    </row>
    <row r="24" spans="1:91" ht="11.65">
      <c r="A24" s="18">
        <v>2</v>
      </c>
      <c r="B24" s="19" t="s">
        <v>39</v>
      </c>
      <c r="C24" s="48">
        <v>4</v>
      </c>
      <c r="D24" s="21" t="s">
        <v>40</v>
      </c>
      <c r="E24" s="21" t="s">
        <v>37</v>
      </c>
      <c r="F24" s="17">
        <v>38.6</v>
      </c>
      <c r="G24" s="17">
        <v>42.6</v>
      </c>
      <c r="H24" s="15" t="s">
        <v>41</v>
      </c>
      <c r="I24" s="32">
        <v>85</v>
      </c>
    </row>
    <row r="25" spans="1:91" ht="23.25">
      <c r="A25" s="18">
        <v>3</v>
      </c>
      <c r="B25" s="19" t="s">
        <v>42</v>
      </c>
      <c r="C25" s="48">
        <v>82</v>
      </c>
      <c r="D25" s="21" t="s">
        <v>43</v>
      </c>
      <c r="E25" s="21" t="s">
        <v>37</v>
      </c>
      <c r="F25" s="17">
        <v>2</v>
      </c>
      <c r="G25" s="17">
        <v>2.2000000000000002</v>
      </c>
      <c r="H25" s="15" t="s">
        <v>34</v>
      </c>
      <c r="I25" s="32">
        <v>1636</v>
      </c>
    </row>
    <row r="26" spans="1:91" ht="11.65">
      <c r="A26" s="18">
        <v>4</v>
      </c>
      <c r="B26" s="19" t="s">
        <v>44</v>
      </c>
      <c r="C26" s="48">
        <v>3</v>
      </c>
      <c r="D26" s="21" t="s">
        <v>45</v>
      </c>
      <c r="E26" s="21" t="s">
        <v>37</v>
      </c>
      <c r="F26" s="17">
        <v>0.4</v>
      </c>
      <c r="G26" s="17">
        <v>0.4</v>
      </c>
      <c r="H26" s="15" t="s">
        <v>38</v>
      </c>
      <c r="I26" s="32">
        <v>9000</v>
      </c>
    </row>
    <row r="27" spans="1:91" ht="23.25">
      <c r="A27" s="18">
        <v>6</v>
      </c>
      <c r="B27" s="19" t="s">
        <v>46</v>
      </c>
      <c r="C27" s="48">
        <v>5</v>
      </c>
      <c r="D27" s="21" t="s">
        <v>47</v>
      </c>
      <c r="E27" s="21" t="s">
        <v>37</v>
      </c>
      <c r="F27" s="17">
        <v>1</v>
      </c>
      <c r="G27" s="17">
        <v>1.1000000000000001</v>
      </c>
      <c r="H27" s="15" t="s">
        <v>41</v>
      </c>
      <c r="I27" s="32">
        <v>3273</v>
      </c>
    </row>
    <row r="28" spans="1:91" ht="11.65">
      <c r="A28" s="18">
        <v>5</v>
      </c>
      <c r="B28" s="19" t="s">
        <v>48</v>
      </c>
      <c r="C28" s="48">
        <v>6</v>
      </c>
      <c r="D28" s="21" t="s">
        <v>49</v>
      </c>
      <c r="E28" s="21" t="s">
        <v>37</v>
      </c>
      <c r="F28" s="17">
        <v>30.5</v>
      </c>
      <c r="G28" s="17">
        <v>33.700000000000003</v>
      </c>
      <c r="H28" s="15" t="s">
        <v>34</v>
      </c>
      <c r="I28" s="32">
        <v>107</v>
      </c>
    </row>
    <row r="29" spans="1:91" ht="11.65">
      <c r="A29" s="18">
        <v>7</v>
      </c>
      <c r="B29" s="19" t="s">
        <v>50</v>
      </c>
      <c r="C29" s="48">
        <v>7</v>
      </c>
      <c r="D29" s="16" t="s">
        <v>51</v>
      </c>
      <c r="E29" s="16" t="s">
        <v>37</v>
      </c>
      <c r="F29" s="17">
        <v>0.3</v>
      </c>
      <c r="G29" s="17">
        <v>0.3</v>
      </c>
      <c r="H29" s="15" t="s">
        <v>34</v>
      </c>
      <c r="I29" s="32">
        <v>12000</v>
      </c>
    </row>
    <row r="30" spans="1:91" ht="11.65">
      <c r="A30" s="18">
        <v>8</v>
      </c>
      <c r="B30" s="19" t="s">
        <v>52</v>
      </c>
      <c r="C30" s="48">
        <v>83</v>
      </c>
      <c r="D30" s="16" t="s">
        <v>53</v>
      </c>
      <c r="E30" s="16" t="s">
        <v>54</v>
      </c>
      <c r="F30" s="17">
        <v>0.7</v>
      </c>
      <c r="G30" s="17">
        <v>0.8</v>
      </c>
      <c r="H30" s="15" t="s">
        <v>34</v>
      </c>
      <c r="I30" s="32">
        <v>4500</v>
      </c>
    </row>
    <row r="31" spans="1:91" ht="11.65">
      <c r="A31" s="18">
        <v>9</v>
      </c>
      <c r="B31" s="19" t="s">
        <v>55</v>
      </c>
      <c r="C31" s="48">
        <v>84</v>
      </c>
      <c r="D31" s="16" t="s">
        <v>56</v>
      </c>
      <c r="E31" s="16" t="s">
        <v>57</v>
      </c>
      <c r="F31" s="17">
        <v>1</v>
      </c>
      <c r="G31" s="17">
        <v>1</v>
      </c>
      <c r="H31" s="15" t="s">
        <v>41</v>
      </c>
      <c r="I31" s="32">
        <v>3600</v>
      </c>
    </row>
    <row r="32" spans="1:91" ht="11.65">
      <c r="A32" s="18">
        <v>10</v>
      </c>
      <c r="B32" s="19" t="s">
        <v>58</v>
      </c>
      <c r="C32" s="48">
        <v>85</v>
      </c>
      <c r="D32" s="16" t="s">
        <v>59</v>
      </c>
      <c r="E32" s="16" t="s">
        <v>37</v>
      </c>
      <c r="F32" s="17">
        <v>0.8</v>
      </c>
      <c r="G32" s="17">
        <v>0.9</v>
      </c>
      <c r="H32" s="15" t="s">
        <v>34</v>
      </c>
      <c r="I32" s="32">
        <v>4000</v>
      </c>
    </row>
    <row r="33" spans="1:9" ht="11.65">
      <c r="A33" s="18">
        <v>170</v>
      </c>
      <c r="B33" s="19" t="s">
        <v>60</v>
      </c>
      <c r="C33" s="48">
        <v>9</v>
      </c>
      <c r="D33" s="16" t="s">
        <v>61</v>
      </c>
      <c r="E33" s="16" t="s">
        <v>37</v>
      </c>
      <c r="F33" s="17">
        <v>30.4</v>
      </c>
      <c r="G33" s="17">
        <v>33.6</v>
      </c>
      <c r="H33" s="15" t="s">
        <v>38</v>
      </c>
      <c r="I33" s="32">
        <v>107</v>
      </c>
    </row>
    <row r="34" spans="1:9" ht="11.65">
      <c r="A34" s="18">
        <v>13</v>
      </c>
      <c r="B34" s="19" t="s">
        <v>62</v>
      </c>
      <c r="C34" s="48">
        <v>14</v>
      </c>
      <c r="D34" s="16" t="s">
        <v>63</v>
      </c>
      <c r="E34" s="16" t="s">
        <v>64</v>
      </c>
      <c r="F34" s="17">
        <v>0.2</v>
      </c>
      <c r="G34" s="17">
        <v>0.2</v>
      </c>
      <c r="H34" s="15" t="s">
        <v>38</v>
      </c>
      <c r="I34" s="32">
        <v>18000</v>
      </c>
    </row>
    <row r="35" spans="1:9" ht="11.65">
      <c r="A35" s="18">
        <v>11</v>
      </c>
      <c r="B35" s="19" t="s">
        <v>65</v>
      </c>
      <c r="C35" s="48"/>
      <c r="D35" s="16"/>
      <c r="E35" s="16"/>
      <c r="F35" s="17"/>
      <c r="G35" s="17"/>
      <c r="H35" s="15"/>
      <c r="I35" s="32"/>
    </row>
    <row r="36" spans="1:9" ht="11.65">
      <c r="A36" s="18"/>
      <c r="B36" s="39" t="s">
        <v>66</v>
      </c>
      <c r="C36" s="47"/>
      <c r="D36" s="13" t="s">
        <v>66</v>
      </c>
      <c r="E36" s="13"/>
      <c r="F36" s="13"/>
      <c r="G36" s="13"/>
      <c r="H36" s="13"/>
      <c r="I36" s="13"/>
    </row>
    <row r="37" spans="1:9" ht="23.25">
      <c r="A37" s="18">
        <v>12</v>
      </c>
      <c r="B37" s="19" t="s">
        <v>67</v>
      </c>
      <c r="C37" s="48">
        <v>87</v>
      </c>
      <c r="D37" s="16" t="s">
        <v>68</v>
      </c>
      <c r="E37" s="16" t="s">
        <v>69</v>
      </c>
      <c r="F37" s="17">
        <v>1.4</v>
      </c>
      <c r="G37" s="17">
        <v>1.6</v>
      </c>
      <c r="H37" s="15" t="s">
        <v>70</v>
      </c>
      <c r="I37" s="32">
        <v>2250</v>
      </c>
    </row>
    <row r="38" spans="1:9" ht="11.65">
      <c r="A38" s="18">
        <v>14</v>
      </c>
      <c r="B38" s="19" t="s">
        <v>71</v>
      </c>
      <c r="C38" s="48">
        <v>15</v>
      </c>
      <c r="D38" s="16" t="s">
        <v>72</v>
      </c>
      <c r="E38" s="16" t="s">
        <v>69</v>
      </c>
      <c r="F38" s="17">
        <v>1.6</v>
      </c>
      <c r="G38" s="17">
        <v>1.9</v>
      </c>
      <c r="H38" s="15" t="s">
        <v>73</v>
      </c>
      <c r="I38" s="32">
        <v>1895</v>
      </c>
    </row>
    <row r="39" spans="1:9" ht="11.65">
      <c r="A39" s="18">
        <v>15</v>
      </c>
      <c r="B39" s="19" t="s">
        <v>74</v>
      </c>
      <c r="C39" s="48">
        <v>16</v>
      </c>
      <c r="D39" s="16" t="s">
        <v>75</v>
      </c>
      <c r="E39" s="16" t="s">
        <v>37</v>
      </c>
      <c r="F39" s="17">
        <v>1.8</v>
      </c>
      <c r="G39" s="17">
        <v>2</v>
      </c>
      <c r="H39" s="15" t="s">
        <v>76</v>
      </c>
      <c r="I39" s="32">
        <v>1800</v>
      </c>
    </row>
    <row r="40" spans="1:9" ht="11.65">
      <c r="A40" s="18">
        <v>16</v>
      </c>
      <c r="B40" s="19" t="s">
        <v>77</v>
      </c>
      <c r="C40" s="48">
        <v>17</v>
      </c>
      <c r="D40" s="74" t="s">
        <v>78</v>
      </c>
      <c r="E40" s="74" t="s">
        <v>79</v>
      </c>
      <c r="F40" s="76">
        <v>14.5</v>
      </c>
      <c r="G40" s="76">
        <v>16.399999999999999</v>
      </c>
      <c r="H40" s="78" t="s">
        <v>70</v>
      </c>
      <c r="I40" s="80">
        <v>220</v>
      </c>
    </row>
    <row r="41" spans="1:9" ht="11.65">
      <c r="A41" s="18">
        <v>17</v>
      </c>
      <c r="B41" s="19" t="s">
        <v>80</v>
      </c>
      <c r="C41" s="48">
        <v>18</v>
      </c>
      <c r="D41" s="75"/>
      <c r="E41" s="75"/>
      <c r="F41" s="77"/>
      <c r="G41" s="77"/>
      <c r="H41" s="79"/>
      <c r="I41" s="81"/>
    </row>
    <row r="42" spans="1:9" ht="11.65">
      <c r="A42" s="18">
        <v>18</v>
      </c>
      <c r="B42" s="19" t="s">
        <v>81</v>
      </c>
      <c r="C42" s="48">
        <v>19</v>
      </c>
      <c r="D42" s="16" t="s">
        <v>82</v>
      </c>
      <c r="E42" s="21" t="s">
        <v>69</v>
      </c>
      <c r="F42" s="17">
        <v>18.100000000000001</v>
      </c>
      <c r="G42" s="17">
        <v>21.5</v>
      </c>
      <c r="H42" s="15" t="s">
        <v>83</v>
      </c>
      <c r="I42" s="32">
        <v>167</v>
      </c>
    </row>
    <row r="43" spans="1:9" ht="23.25">
      <c r="A43" s="18">
        <v>19</v>
      </c>
      <c r="B43" s="19" t="s">
        <v>84</v>
      </c>
      <c r="C43" s="48">
        <v>20</v>
      </c>
      <c r="D43" s="16" t="s">
        <v>85</v>
      </c>
      <c r="E43" s="21" t="s">
        <v>69</v>
      </c>
      <c r="F43" s="17">
        <v>18.100000000000001</v>
      </c>
      <c r="G43" s="17">
        <v>21.5</v>
      </c>
      <c r="H43" s="15" t="s">
        <v>83</v>
      </c>
      <c r="I43" s="32">
        <v>167</v>
      </c>
    </row>
    <row r="44" spans="1:9" ht="11.65">
      <c r="A44" s="18">
        <v>20</v>
      </c>
      <c r="B44" s="19" t="s">
        <v>86</v>
      </c>
      <c r="C44" s="48">
        <v>21</v>
      </c>
      <c r="D44" s="16" t="s">
        <v>87</v>
      </c>
      <c r="E44" s="21" t="s">
        <v>69</v>
      </c>
      <c r="F44" s="17">
        <v>12.8</v>
      </c>
      <c r="G44" s="17">
        <v>15.3</v>
      </c>
      <c r="H44" s="15" t="s">
        <v>88</v>
      </c>
      <c r="I44" s="32">
        <v>235</v>
      </c>
    </row>
    <row r="45" spans="1:9" ht="23.25">
      <c r="A45" s="18">
        <v>21</v>
      </c>
      <c r="B45" s="19" t="s">
        <v>89</v>
      </c>
      <c r="C45" s="48">
        <v>22</v>
      </c>
      <c r="D45" s="16" t="s">
        <v>90</v>
      </c>
      <c r="E45" s="21" t="s">
        <v>91</v>
      </c>
      <c r="F45" s="17">
        <v>15.1</v>
      </c>
      <c r="G45" s="17">
        <v>18.3</v>
      </c>
      <c r="H45" s="15" t="s">
        <v>88</v>
      </c>
      <c r="I45" s="32">
        <v>197</v>
      </c>
    </row>
    <row r="46" spans="1:9" ht="34.9">
      <c r="A46" s="18">
        <v>22</v>
      </c>
      <c r="B46" s="19" t="s">
        <v>92</v>
      </c>
      <c r="C46" s="48">
        <v>23</v>
      </c>
      <c r="D46" s="16" t="s">
        <v>93</v>
      </c>
      <c r="E46" s="21" t="s">
        <v>94</v>
      </c>
      <c r="F46" s="17">
        <v>28.8</v>
      </c>
      <c r="G46" s="17">
        <v>31.9</v>
      </c>
      <c r="H46" s="15" t="s">
        <v>41</v>
      </c>
      <c r="I46" s="32">
        <v>113</v>
      </c>
    </row>
    <row r="47" spans="1:9" ht="11.65">
      <c r="A47" s="18">
        <v>23</v>
      </c>
      <c r="B47" s="19" t="s">
        <v>95</v>
      </c>
      <c r="C47" s="48">
        <v>24</v>
      </c>
      <c r="D47" s="16" t="s">
        <v>96</v>
      </c>
      <c r="E47" s="21" t="s">
        <v>37</v>
      </c>
      <c r="F47" s="17">
        <v>15.7</v>
      </c>
      <c r="G47" s="17">
        <v>17.399999999999999</v>
      </c>
      <c r="H47" s="15" t="s">
        <v>38</v>
      </c>
      <c r="I47" s="32">
        <v>207</v>
      </c>
    </row>
    <row r="48" spans="1:9" ht="26.25">
      <c r="A48" s="18">
        <v>24</v>
      </c>
      <c r="B48" s="19" t="s">
        <v>97</v>
      </c>
      <c r="C48" s="36">
        <v>25</v>
      </c>
      <c r="D48" s="25" t="s">
        <v>98</v>
      </c>
      <c r="E48" s="25" t="s">
        <v>79</v>
      </c>
      <c r="F48" s="26">
        <v>0</v>
      </c>
      <c r="G48" s="26">
        <v>0</v>
      </c>
      <c r="H48" s="24" t="s">
        <v>99</v>
      </c>
      <c r="I48" s="33">
        <v>0</v>
      </c>
    </row>
    <row r="49" spans="1:9" ht="23.25">
      <c r="A49" s="18">
        <v>25</v>
      </c>
      <c r="B49" s="19" t="s">
        <v>100</v>
      </c>
      <c r="C49" s="48">
        <v>26</v>
      </c>
      <c r="D49" s="16" t="s">
        <v>101</v>
      </c>
      <c r="E49" s="16" t="s">
        <v>69</v>
      </c>
      <c r="F49" s="17">
        <v>20.100000000000001</v>
      </c>
      <c r="G49" s="17">
        <v>22.6</v>
      </c>
      <c r="H49" s="15" t="s">
        <v>83</v>
      </c>
      <c r="I49" s="32">
        <v>159</v>
      </c>
    </row>
    <row r="50" spans="1:9" ht="11.65">
      <c r="A50" s="18"/>
      <c r="B50" s="39" t="s">
        <v>102</v>
      </c>
      <c r="C50" s="47"/>
      <c r="D50" s="13" t="s">
        <v>102</v>
      </c>
      <c r="E50" s="13"/>
      <c r="F50" s="13"/>
      <c r="G50" s="13"/>
      <c r="H50" s="13"/>
      <c r="I50" s="13"/>
    </row>
    <row r="51" spans="1:9" s="2" customFormat="1" ht="26.25">
      <c r="A51" s="18">
        <v>81</v>
      </c>
      <c r="B51" s="40" t="s">
        <v>103</v>
      </c>
      <c r="C51" s="36">
        <v>91</v>
      </c>
      <c r="D51" s="25" t="s">
        <v>104</v>
      </c>
      <c r="E51" s="25" t="s">
        <v>79</v>
      </c>
      <c r="F51" s="26">
        <v>39.299999999999997</v>
      </c>
      <c r="G51" s="26">
        <v>44.2</v>
      </c>
      <c r="H51" s="24" t="s">
        <v>70</v>
      </c>
      <c r="I51" s="33">
        <v>81</v>
      </c>
    </row>
    <row r="52" spans="1:9" ht="52.5">
      <c r="A52" s="18">
        <v>26</v>
      </c>
      <c r="B52" s="19" t="s">
        <v>105</v>
      </c>
      <c r="C52" s="36">
        <v>27</v>
      </c>
      <c r="D52" s="28" t="s">
        <v>106</v>
      </c>
      <c r="E52" s="28" t="s">
        <v>107</v>
      </c>
      <c r="F52" s="29">
        <v>18.2</v>
      </c>
      <c r="G52" s="29">
        <v>20.100000000000001</v>
      </c>
      <c r="H52" s="27" t="s">
        <v>41</v>
      </c>
      <c r="I52" s="34">
        <v>179</v>
      </c>
    </row>
    <row r="53" spans="1:9" ht="13.15">
      <c r="A53" s="18">
        <v>28</v>
      </c>
      <c r="B53" s="19" t="s">
        <v>108</v>
      </c>
      <c r="C53" s="36">
        <v>28</v>
      </c>
      <c r="D53" s="28" t="s">
        <v>109</v>
      </c>
      <c r="E53" s="28" t="s">
        <v>110</v>
      </c>
      <c r="F53" s="29">
        <v>9.1999999999999993</v>
      </c>
      <c r="G53" s="29">
        <v>10.199999999999999</v>
      </c>
      <c r="H53" s="27" t="s">
        <v>73</v>
      </c>
      <c r="I53" s="34">
        <v>353</v>
      </c>
    </row>
    <row r="54" spans="1:9" ht="13.15">
      <c r="A54" s="18">
        <v>29</v>
      </c>
      <c r="B54" s="40" t="s">
        <v>111</v>
      </c>
      <c r="C54" s="36">
        <v>29</v>
      </c>
      <c r="D54" s="28" t="s">
        <v>112</v>
      </c>
      <c r="E54" s="28" t="s">
        <v>37</v>
      </c>
      <c r="F54" s="29">
        <v>18.899999999999999</v>
      </c>
      <c r="G54" s="29">
        <v>20.9</v>
      </c>
      <c r="H54" s="27" t="s">
        <v>34</v>
      </c>
      <c r="I54" s="34">
        <v>172</v>
      </c>
    </row>
    <row r="55" spans="1:9" ht="26.25">
      <c r="A55" s="18">
        <v>30</v>
      </c>
      <c r="B55" s="19" t="s">
        <v>113</v>
      </c>
      <c r="C55" s="36">
        <v>30</v>
      </c>
      <c r="D55" s="25" t="s">
        <v>114</v>
      </c>
      <c r="E55" s="25" t="s">
        <v>79</v>
      </c>
      <c r="F55" s="26">
        <v>22.6</v>
      </c>
      <c r="G55" s="26">
        <v>25.4</v>
      </c>
      <c r="H55" s="24" t="s">
        <v>99</v>
      </c>
      <c r="I55" s="33">
        <v>142</v>
      </c>
    </row>
    <row r="56" spans="1:9" ht="26.25">
      <c r="A56" s="18">
        <v>36</v>
      </c>
      <c r="B56" s="19" t="s">
        <v>115</v>
      </c>
      <c r="C56" s="36">
        <v>31</v>
      </c>
      <c r="D56" s="28" t="s">
        <v>116</v>
      </c>
      <c r="E56" s="28" t="s">
        <v>91</v>
      </c>
      <c r="F56" s="29">
        <v>23.5</v>
      </c>
      <c r="G56" s="29">
        <v>26.6</v>
      </c>
      <c r="H56" s="27" t="s">
        <v>88</v>
      </c>
      <c r="I56" s="34">
        <v>135</v>
      </c>
    </row>
    <row r="57" spans="1:9" ht="13.15">
      <c r="A57" s="18">
        <v>37</v>
      </c>
      <c r="B57" s="19" t="s">
        <v>117</v>
      </c>
      <c r="C57" s="36">
        <v>32</v>
      </c>
      <c r="D57" s="28" t="s">
        <v>118</v>
      </c>
      <c r="E57" s="28" t="s">
        <v>69</v>
      </c>
      <c r="F57" s="29">
        <v>17.899999999999999</v>
      </c>
      <c r="G57" s="29">
        <v>22.8</v>
      </c>
      <c r="H57" s="27" t="s">
        <v>119</v>
      </c>
      <c r="I57" s="34">
        <v>158</v>
      </c>
    </row>
    <row r="58" spans="1:9" ht="26.25">
      <c r="A58" s="18">
        <v>38</v>
      </c>
      <c r="B58" s="19" t="s">
        <v>120</v>
      </c>
      <c r="C58" s="36">
        <v>33</v>
      </c>
      <c r="D58" s="28" t="s">
        <v>121</v>
      </c>
      <c r="E58" s="28" t="s">
        <v>91</v>
      </c>
      <c r="F58" s="29">
        <v>10.199999999999999</v>
      </c>
      <c r="G58" s="29">
        <v>13.3</v>
      </c>
      <c r="H58" s="27" t="s">
        <v>119</v>
      </c>
      <c r="I58" s="34">
        <v>271</v>
      </c>
    </row>
    <row r="59" spans="1:9" ht="26.25">
      <c r="A59" s="18">
        <v>39</v>
      </c>
      <c r="B59" s="19" t="s">
        <v>122</v>
      </c>
      <c r="C59" s="36">
        <v>34</v>
      </c>
      <c r="D59" s="28" t="s">
        <v>123</v>
      </c>
      <c r="E59" s="28" t="s">
        <v>69</v>
      </c>
      <c r="F59" s="29">
        <v>40.799999999999997</v>
      </c>
      <c r="G59" s="29">
        <v>48.5</v>
      </c>
      <c r="H59" s="27" t="s">
        <v>88</v>
      </c>
      <c r="I59" s="34">
        <v>74</v>
      </c>
    </row>
    <row r="60" spans="1:9" ht="26.25">
      <c r="A60" s="18">
        <v>40</v>
      </c>
      <c r="B60" s="19" t="s">
        <v>124</v>
      </c>
      <c r="C60" s="36">
        <v>35</v>
      </c>
      <c r="D60" s="28" t="s">
        <v>125</v>
      </c>
      <c r="E60" s="28" t="s">
        <v>91</v>
      </c>
      <c r="F60" s="29">
        <v>37.200000000000003</v>
      </c>
      <c r="G60" s="29">
        <v>45.2</v>
      </c>
      <c r="H60" s="27" t="s">
        <v>88</v>
      </c>
      <c r="I60" s="34">
        <v>80</v>
      </c>
    </row>
    <row r="61" spans="1:9" ht="26.25">
      <c r="A61" s="18">
        <v>41</v>
      </c>
      <c r="B61" s="19" t="s">
        <v>126</v>
      </c>
      <c r="C61" s="36">
        <v>36</v>
      </c>
      <c r="D61" s="28" t="s">
        <v>127</v>
      </c>
      <c r="E61" s="28" t="s">
        <v>69</v>
      </c>
      <c r="F61" s="29">
        <v>20.7</v>
      </c>
      <c r="G61" s="29">
        <v>23.2</v>
      </c>
      <c r="H61" s="27" t="s">
        <v>88</v>
      </c>
      <c r="I61" s="34">
        <v>155</v>
      </c>
    </row>
    <row r="62" spans="1:9" ht="26.25">
      <c r="A62" s="18">
        <v>42</v>
      </c>
      <c r="B62" s="19" t="s">
        <v>128</v>
      </c>
      <c r="C62" s="36">
        <v>37</v>
      </c>
      <c r="D62" s="28" t="s">
        <v>129</v>
      </c>
      <c r="E62" s="28" t="s">
        <v>69</v>
      </c>
      <c r="F62" s="29">
        <v>9.1999999999999993</v>
      </c>
      <c r="G62" s="29">
        <v>10.199999999999999</v>
      </c>
      <c r="H62" s="27" t="s">
        <v>41</v>
      </c>
      <c r="I62" s="34">
        <v>353</v>
      </c>
    </row>
    <row r="63" spans="1:9" ht="13.15">
      <c r="A63" s="18">
        <v>43</v>
      </c>
      <c r="B63" s="19" t="s">
        <v>130</v>
      </c>
      <c r="C63" s="36">
        <v>38</v>
      </c>
      <c r="D63" s="28" t="s">
        <v>131</v>
      </c>
      <c r="E63" s="28" t="s">
        <v>69</v>
      </c>
      <c r="F63" s="29">
        <v>34.1</v>
      </c>
      <c r="G63" s="29">
        <v>40.5</v>
      </c>
      <c r="H63" s="27" t="s">
        <v>88</v>
      </c>
      <c r="I63" s="34">
        <v>89</v>
      </c>
    </row>
    <row r="64" spans="1:9" ht="13.15">
      <c r="A64" s="18">
        <v>44</v>
      </c>
      <c r="B64" s="19" t="s">
        <v>132</v>
      </c>
      <c r="C64" s="36">
        <v>39</v>
      </c>
      <c r="D64" s="28" t="s">
        <v>133</v>
      </c>
      <c r="E64" s="28" t="s">
        <v>69</v>
      </c>
      <c r="F64" s="29">
        <v>13.6</v>
      </c>
      <c r="G64" s="29">
        <v>15.9</v>
      </c>
      <c r="H64" s="27" t="s">
        <v>119</v>
      </c>
      <c r="I64" s="34">
        <v>227</v>
      </c>
    </row>
    <row r="65" spans="1:9" ht="26.25">
      <c r="A65" s="18">
        <v>45</v>
      </c>
      <c r="B65" s="19" t="s">
        <v>134</v>
      </c>
      <c r="C65" s="36">
        <v>40</v>
      </c>
      <c r="D65" s="28" t="s">
        <v>135</v>
      </c>
      <c r="E65" s="28" t="s">
        <v>69</v>
      </c>
      <c r="F65" s="29">
        <v>44.7</v>
      </c>
      <c r="G65" s="29">
        <v>52.6</v>
      </c>
      <c r="H65" s="27" t="s">
        <v>136</v>
      </c>
      <c r="I65" s="34">
        <v>68</v>
      </c>
    </row>
    <row r="66" spans="1:9" ht="26.25">
      <c r="A66" s="18">
        <v>46</v>
      </c>
      <c r="B66" s="19" t="s">
        <v>137</v>
      </c>
      <c r="C66" s="36">
        <v>41</v>
      </c>
      <c r="D66" s="28" t="s">
        <v>138</v>
      </c>
      <c r="E66" s="28" t="s">
        <v>69</v>
      </c>
      <c r="F66" s="29">
        <v>84.3</v>
      </c>
      <c r="G66" s="29">
        <v>95.1</v>
      </c>
      <c r="H66" s="27" t="s">
        <v>139</v>
      </c>
      <c r="I66" s="34">
        <v>38</v>
      </c>
    </row>
    <row r="67" spans="1:9" ht="13.15">
      <c r="A67" s="18">
        <v>47</v>
      </c>
      <c r="B67" s="19" t="s">
        <v>140</v>
      </c>
      <c r="C67" s="36">
        <v>42</v>
      </c>
      <c r="D67" s="28" t="s">
        <v>141</v>
      </c>
      <c r="E67" s="28" t="s">
        <v>69</v>
      </c>
      <c r="F67" s="29">
        <v>50.8</v>
      </c>
      <c r="G67" s="29">
        <v>57.8</v>
      </c>
      <c r="H67" s="27" t="s">
        <v>88</v>
      </c>
      <c r="I67" s="34">
        <v>62</v>
      </c>
    </row>
    <row r="68" spans="1:9" ht="13.15">
      <c r="A68" s="18">
        <v>48</v>
      </c>
      <c r="B68" s="19" t="s">
        <v>142</v>
      </c>
      <c r="C68" s="36">
        <v>43</v>
      </c>
      <c r="D68" s="28" t="s">
        <v>143</v>
      </c>
      <c r="E68" s="28" t="s">
        <v>37</v>
      </c>
      <c r="F68" s="29">
        <v>5.5</v>
      </c>
      <c r="G68" s="29">
        <v>6</v>
      </c>
      <c r="H68" s="27" t="s">
        <v>76</v>
      </c>
      <c r="I68" s="34">
        <v>600</v>
      </c>
    </row>
    <row r="69" spans="1:9" ht="13.15">
      <c r="A69" s="22">
        <v>86</v>
      </c>
      <c r="B69" s="31" t="s">
        <v>144</v>
      </c>
      <c r="C69" s="36">
        <v>112</v>
      </c>
      <c r="D69" s="28" t="s">
        <v>145</v>
      </c>
      <c r="E69" s="28" t="s">
        <v>37</v>
      </c>
      <c r="F69" s="29">
        <v>4.8</v>
      </c>
      <c r="G69" s="29">
        <v>5.2</v>
      </c>
      <c r="H69" s="27" t="s">
        <v>76</v>
      </c>
      <c r="I69" s="34">
        <v>692</v>
      </c>
    </row>
    <row r="70" spans="1:9" ht="11.65">
      <c r="A70" s="18"/>
      <c r="B70" s="39" t="s">
        <v>146</v>
      </c>
      <c r="C70" s="47"/>
      <c r="D70" s="13" t="s">
        <v>146</v>
      </c>
      <c r="E70" s="13"/>
      <c r="F70" s="13"/>
      <c r="G70" s="13"/>
      <c r="H70" s="13"/>
      <c r="I70" s="13"/>
    </row>
    <row r="71" spans="1:9" ht="39.4">
      <c r="A71" s="18">
        <v>49</v>
      </c>
      <c r="B71" s="19" t="s">
        <v>147</v>
      </c>
      <c r="C71" s="36">
        <v>44</v>
      </c>
      <c r="D71" s="28" t="s">
        <v>148</v>
      </c>
      <c r="E71" s="28" t="s">
        <v>107</v>
      </c>
      <c r="F71" s="29">
        <v>61.7</v>
      </c>
      <c r="G71" s="29">
        <v>68.2</v>
      </c>
      <c r="H71" s="27" t="s">
        <v>119</v>
      </c>
      <c r="I71" s="34">
        <v>53</v>
      </c>
    </row>
    <row r="72" spans="1:9" ht="13.15">
      <c r="A72" s="18">
        <v>50</v>
      </c>
      <c r="B72" s="19" t="s">
        <v>149</v>
      </c>
      <c r="C72" s="36">
        <v>45</v>
      </c>
      <c r="D72" s="28" t="s">
        <v>150</v>
      </c>
      <c r="E72" s="28" t="s">
        <v>69</v>
      </c>
      <c r="F72" s="29">
        <v>27.4</v>
      </c>
      <c r="G72" s="29">
        <v>30.8</v>
      </c>
      <c r="H72" s="27" t="s">
        <v>119</v>
      </c>
      <c r="I72" s="34">
        <v>117</v>
      </c>
    </row>
    <row r="73" spans="1:9" ht="26.25">
      <c r="A73" s="18">
        <v>51</v>
      </c>
      <c r="B73" s="19" t="s">
        <v>151</v>
      </c>
      <c r="C73" s="36">
        <v>46</v>
      </c>
      <c r="D73" s="28" t="s">
        <v>152</v>
      </c>
      <c r="E73" s="28" t="s">
        <v>69</v>
      </c>
      <c r="F73" s="29">
        <v>30.8</v>
      </c>
      <c r="G73" s="29">
        <v>34.299999999999997</v>
      </c>
      <c r="H73" s="27" t="s">
        <v>136</v>
      </c>
      <c r="I73" s="34">
        <v>105</v>
      </c>
    </row>
    <row r="74" spans="1:9" ht="26.25">
      <c r="A74" s="18">
        <v>52</v>
      </c>
      <c r="B74" s="19" t="s">
        <v>153</v>
      </c>
      <c r="C74" s="36">
        <v>47</v>
      </c>
      <c r="D74" s="28" t="s">
        <v>154</v>
      </c>
      <c r="E74" s="28" t="s">
        <v>69</v>
      </c>
      <c r="F74" s="29">
        <v>18.600000000000001</v>
      </c>
      <c r="G74" s="29">
        <v>21</v>
      </c>
      <c r="H74" s="27" t="s">
        <v>88</v>
      </c>
      <c r="I74" s="34">
        <v>171</v>
      </c>
    </row>
    <row r="75" spans="1:9" ht="13.15">
      <c r="A75" s="18">
        <v>53</v>
      </c>
      <c r="B75" s="19" t="s">
        <v>155</v>
      </c>
      <c r="C75" s="36">
        <v>48</v>
      </c>
      <c r="D75" s="28" t="s">
        <v>156</v>
      </c>
      <c r="E75" s="28" t="s">
        <v>69</v>
      </c>
      <c r="F75" s="29">
        <v>31.6</v>
      </c>
      <c r="G75" s="29">
        <v>35.700000000000003</v>
      </c>
      <c r="H75" s="27" t="s">
        <v>157</v>
      </c>
      <c r="I75" s="34">
        <v>101</v>
      </c>
    </row>
    <row r="76" spans="1:9" ht="13.15">
      <c r="A76" s="18">
        <v>54</v>
      </c>
      <c r="B76" s="19" t="s">
        <v>158</v>
      </c>
      <c r="C76" s="36">
        <v>49</v>
      </c>
      <c r="D76" s="28" t="s">
        <v>159</v>
      </c>
      <c r="E76" s="28" t="s">
        <v>69</v>
      </c>
      <c r="F76" s="29">
        <v>35</v>
      </c>
      <c r="G76" s="29">
        <v>39.9</v>
      </c>
      <c r="H76" s="27" t="s">
        <v>119</v>
      </c>
      <c r="I76" s="34">
        <v>90</v>
      </c>
    </row>
    <row r="77" spans="1:9" ht="13.15">
      <c r="A77" s="18">
        <v>55</v>
      </c>
      <c r="B77" s="19" t="s">
        <v>160</v>
      </c>
      <c r="C77" s="36">
        <v>50</v>
      </c>
      <c r="D77" s="28" t="s">
        <v>161</v>
      </c>
      <c r="E77" s="28" t="s">
        <v>110</v>
      </c>
      <c r="F77" s="29">
        <v>22.7</v>
      </c>
      <c r="G77" s="29">
        <v>25.4</v>
      </c>
      <c r="H77" s="27" t="s">
        <v>73</v>
      </c>
      <c r="I77" s="34">
        <v>142</v>
      </c>
    </row>
    <row r="78" spans="1:9" ht="26.25">
      <c r="A78" s="18">
        <v>56</v>
      </c>
      <c r="B78" s="19" t="s">
        <v>162</v>
      </c>
      <c r="C78" s="36">
        <v>51</v>
      </c>
      <c r="D78" s="28" t="s">
        <v>163</v>
      </c>
      <c r="E78" s="28" t="s">
        <v>69</v>
      </c>
      <c r="F78" s="29">
        <v>50.4</v>
      </c>
      <c r="G78" s="29">
        <v>57.2</v>
      </c>
      <c r="H78" s="27" t="s">
        <v>41</v>
      </c>
      <c r="I78" s="34">
        <v>63</v>
      </c>
    </row>
    <row r="79" spans="1:9" ht="26.25">
      <c r="A79" s="18">
        <v>57</v>
      </c>
      <c r="B79" s="19" t="s">
        <v>164</v>
      </c>
      <c r="C79" s="36">
        <v>52</v>
      </c>
      <c r="D79" s="28" t="s">
        <v>165</v>
      </c>
      <c r="E79" s="28" t="s">
        <v>37</v>
      </c>
      <c r="F79" s="29">
        <v>39.4</v>
      </c>
      <c r="G79" s="29">
        <v>43.6</v>
      </c>
      <c r="H79" s="27" t="s">
        <v>34</v>
      </c>
      <c r="I79" s="34">
        <v>83</v>
      </c>
    </row>
    <row r="80" spans="1:9" ht="13.15">
      <c r="A80" s="18">
        <v>58</v>
      </c>
      <c r="B80" s="19" t="s">
        <v>166</v>
      </c>
      <c r="C80" s="36">
        <v>53</v>
      </c>
      <c r="D80" s="28" t="s">
        <v>167</v>
      </c>
      <c r="E80" s="28" t="s">
        <v>69</v>
      </c>
      <c r="F80" s="29">
        <v>26.4</v>
      </c>
      <c r="G80" s="29">
        <v>32.6</v>
      </c>
      <c r="H80" s="27" t="s">
        <v>168</v>
      </c>
      <c r="I80" s="34">
        <v>110</v>
      </c>
    </row>
    <row r="81" spans="1:9" ht="26.25">
      <c r="A81" s="18">
        <v>59</v>
      </c>
      <c r="B81" s="19" t="s">
        <v>169</v>
      </c>
      <c r="C81" s="36">
        <v>54</v>
      </c>
      <c r="D81" s="28" t="s">
        <v>170</v>
      </c>
      <c r="E81" s="28" t="s">
        <v>91</v>
      </c>
      <c r="F81" s="29">
        <v>27.3</v>
      </c>
      <c r="G81" s="29">
        <v>34.4</v>
      </c>
      <c r="H81" s="27" t="s">
        <v>83</v>
      </c>
      <c r="I81" s="34">
        <v>105</v>
      </c>
    </row>
    <row r="82" spans="1:9" ht="13.15">
      <c r="A82" s="18"/>
      <c r="B82" s="19" t="s">
        <v>171</v>
      </c>
      <c r="C82" s="36">
        <v>55</v>
      </c>
      <c r="D82" s="28" t="s">
        <v>171</v>
      </c>
      <c r="E82" s="28"/>
      <c r="F82" s="29"/>
      <c r="G82" s="29"/>
      <c r="H82" s="27"/>
      <c r="I82" s="34"/>
    </row>
    <row r="83" spans="1:9" ht="26.25">
      <c r="A83" s="18">
        <v>60</v>
      </c>
      <c r="B83" s="19" t="s">
        <v>172</v>
      </c>
      <c r="C83" s="36">
        <v>56</v>
      </c>
      <c r="D83" s="28" t="s">
        <v>173</v>
      </c>
      <c r="E83" s="28" t="s">
        <v>69</v>
      </c>
      <c r="F83" s="29">
        <v>25.2</v>
      </c>
      <c r="G83" s="29">
        <v>30.2</v>
      </c>
      <c r="H83" s="27" t="s">
        <v>119</v>
      </c>
      <c r="I83" s="34">
        <v>119</v>
      </c>
    </row>
    <row r="84" spans="1:9" s="3" customFormat="1" ht="13.15">
      <c r="A84" s="18">
        <v>89</v>
      </c>
      <c r="B84" s="19" t="s">
        <v>174</v>
      </c>
      <c r="C84" s="36">
        <v>89</v>
      </c>
      <c r="D84" s="28" t="s">
        <v>175</v>
      </c>
      <c r="E84" s="28" t="s">
        <v>69</v>
      </c>
      <c r="F84" s="29">
        <v>21.2</v>
      </c>
      <c r="G84" s="29">
        <v>24.9</v>
      </c>
      <c r="H84" s="27" t="s">
        <v>168</v>
      </c>
      <c r="I84" s="34">
        <v>145</v>
      </c>
    </row>
    <row r="85" spans="1:9" ht="26.25">
      <c r="A85" s="18">
        <v>88</v>
      </c>
      <c r="B85" s="19" t="s">
        <v>176</v>
      </c>
      <c r="C85" s="36">
        <v>88</v>
      </c>
      <c r="D85" s="28" t="s">
        <v>177</v>
      </c>
      <c r="E85" s="28" t="s">
        <v>69</v>
      </c>
      <c r="F85" s="29">
        <v>20.399999999999999</v>
      </c>
      <c r="G85" s="29">
        <v>25.3</v>
      </c>
      <c r="H85" s="27" t="s">
        <v>88</v>
      </c>
      <c r="I85" s="34">
        <v>142</v>
      </c>
    </row>
    <row r="86" spans="1:9" ht="26.25">
      <c r="A86" s="18">
        <v>61</v>
      </c>
      <c r="B86" s="19" t="s">
        <v>178</v>
      </c>
      <c r="C86" s="36">
        <v>57</v>
      </c>
      <c r="D86" s="28" t="s">
        <v>179</v>
      </c>
      <c r="E86" s="28" t="s">
        <v>94</v>
      </c>
      <c r="F86" s="29">
        <v>31.9</v>
      </c>
      <c r="G86" s="29">
        <v>35.200000000000003</v>
      </c>
      <c r="H86" s="27" t="s">
        <v>119</v>
      </c>
      <c r="I86" s="34">
        <v>102</v>
      </c>
    </row>
    <row r="87" spans="1:9" ht="26.25">
      <c r="A87" s="18">
        <v>62</v>
      </c>
      <c r="B87" s="19" t="s">
        <v>180</v>
      </c>
      <c r="C87" s="36">
        <v>58</v>
      </c>
      <c r="D87" s="28" t="s">
        <v>181</v>
      </c>
      <c r="E87" s="28" t="s">
        <v>37</v>
      </c>
      <c r="F87" s="29">
        <v>30.9</v>
      </c>
      <c r="G87" s="29">
        <v>34.1</v>
      </c>
      <c r="H87" s="27" t="s">
        <v>70</v>
      </c>
      <c r="I87" s="34">
        <v>106</v>
      </c>
    </row>
    <row r="88" spans="1:9" s="2" customFormat="1" ht="26.25">
      <c r="A88" s="18">
        <v>63</v>
      </c>
      <c r="B88" s="19" t="s">
        <v>182</v>
      </c>
      <c r="C88" s="36">
        <v>59</v>
      </c>
      <c r="D88" s="28" t="s">
        <v>183</v>
      </c>
      <c r="E88" s="28" t="s">
        <v>91</v>
      </c>
      <c r="F88" s="29">
        <v>62.6</v>
      </c>
      <c r="G88" s="29">
        <v>72.400000000000006</v>
      </c>
      <c r="H88" s="27" t="s">
        <v>88</v>
      </c>
      <c r="I88" s="34">
        <v>50</v>
      </c>
    </row>
    <row r="89" spans="1:9" ht="13.15">
      <c r="A89" s="18">
        <v>64</v>
      </c>
      <c r="B89" s="19" t="s">
        <v>184</v>
      </c>
      <c r="C89" s="36">
        <v>60</v>
      </c>
      <c r="D89" s="28" t="s">
        <v>185</v>
      </c>
      <c r="E89" s="28" t="s">
        <v>69</v>
      </c>
      <c r="F89" s="29">
        <v>20.7</v>
      </c>
      <c r="G89" s="29">
        <v>23.4</v>
      </c>
      <c r="H89" s="27" t="s">
        <v>41</v>
      </c>
      <c r="I89" s="34">
        <v>154</v>
      </c>
    </row>
    <row r="90" spans="1:9" ht="13.15">
      <c r="A90" s="18">
        <v>65</v>
      </c>
      <c r="B90" s="19" t="s">
        <v>186</v>
      </c>
      <c r="C90" s="36">
        <v>61</v>
      </c>
      <c r="D90" s="28" t="s">
        <v>187</v>
      </c>
      <c r="E90" s="28" t="s">
        <v>69</v>
      </c>
      <c r="F90" s="29">
        <v>30.6</v>
      </c>
      <c r="G90" s="29">
        <v>33.799999999999997</v>
      </c>
      <c r="H90" s="27" t="s">
        <v>41</v>
      </c>
      <c r="I90" s="34">
        <v>107</v>
      </c>
    </row>
    <row r="91" spans="1:9" ht="11.65">
      <c r="A91" s="18"/>
      <c r="B91" s="39" t="s">
        <v>188</v>
      </c>
      <c r="C91" s="47"/>
      <c r="D91" s="13" t="s">
        <v>188</v>
      </c>
      <c r="E91" s="13"/>
      <c r="F91" s="13"/>
      <c r="G91" s="13"/>
      <c r="H91" s="13"/>
      <c r="I91" s="13"/>
    </row>
    <row r="92" spans="1:9" ht="13.15">
      <c r="A92" s="18">
        <v>66</v>
      </c>
      <c r="B92" s="19" t="s">
        <v>189</v>
      </c>
      <c r="C92" s="36">
        <v>62</v>
      </c>
      <c r="D92" s="28" t="s">
        <v>190</v>
      </c>
      <c r="E92" s="28" t="s">
        <v>69</v>
      </c>
      <c r="F92" s="29">
        <v>16.8</v>
      </c>
      <c r="G92" s="29">
        <v>20</v>
      </c>
      <c r="H92" s="27" t="s">
        <v>168</v>
      </c>
      <c r="I92" s="34">
        <v>180</v>
      </c>
    </row>
    <row r="93" spans="1:9" ht="26.25">
      <c r="A93" s="18">
        <v>67</v>
      </c>
      <c r="B93" s="19" t="s">
        <v>191</v>
      </c>
      <c r="C93" s="36">
        <v>63</v>
      </c>
      <c r="D93" s="28" t="s">
        <v>192</v>
      </c>
      <c r="E93" s="28" t="s">
        <v>91</v>
      </c>
      <c r="F93" s="29">
        <v>14.4</v>
      </c>
      <c r="G93" s="29">
        <v>19</v>
      </c>
      <c r="H93" s="27" t="s">
        <v>168</v>
      </c>
      <c r="I93" s="34">
        <v>189</v>
      </c>
    </row>
    <row r="94" spans="1:9" ht="13.15">
      <c r="A94" s="18">
        <v>68</v>
      </c>
      <c r="B94" s="19" t="s">
        <v>193</v>
      </c>
      <c r="C94" s="36">
        <v>64</v>
      </c>
      <c r="D94" s="28" t="s">
        <v>194</v>
      </c>
      <c r="E94" s="28" t="s">
        <v>69</v>
      </c>
      <c r="F94" s="29">
        <v>19.5</v>
      </c>
      <c r="G94" s="29">
        <v>23.1</v>
      </c>
      <c r="H94" s="27" t="s">
        <v>83</v>
      </c>
      <c r="I94" s="34">
        <v>156</v>
      </c>
    </row>
    <row r="95" spans="1:9" ht="26.25">
      <c r="A95" s="18">
        <v>70</v>
      </c>
      <c r="B95" s="19" t="s">
        <v>195</v>
      </c>
      <c r="C95" s="36">
        <v>65</v>
      </c>
      <c r="D95" s="28" t="s">
        <v>196</v>
      </c>
      <c r="E95" s="28" t="s">
        <v>91</v>
      </c>
      <c r="F95" s="29">
        <v>17.5</v>
      </c>
      <c r="G95" s="29">
        <v>22.7</v>
      </c>
      <c r="H95" s="27" t="s">
        <v>83</v>
      </c>
      <c r="I95" s="34">
        <v>159</v>
      </c>
    </row>
    <row r="96" spans="1:9" ht="11.65">
      <c r="A96" s="18"/>
      <c r="B96" s="39" t="s">
        <v>197</v>
      </c>
      <c r="C96" s="47"/>
      <c r="D96" s="13" t="s">
        <v>197</v>
      </c>
      <c r="E96" s="13"/>
      <c r="F96" s="13"/>
      <c r="G96" s="13"/>
      <c r="H96" s="13"/>
      <c r="I96" s="13"/>
    </row>
    <row r="97" spans="1:9" ht="13.15">
      <c r="A97" s="18">
        <v>27</v>
      </c>
      <c r="B97" s="19" t="s">
        <v>198</v>
      </c>
      <c r="C97" s="36">
        <v>66</v>
      </c>
      <c r="D97" s="28" t="s">
        <v>199</v>
      </c>
      <c r="E97" s="28" t="s">
        <v>37</v>
      </c>
      <c r="F97" s="29">
        <v>43.9</v>
      </c>
      <c r="G97" s="29">
        <v>48.5</v>
      </c>
      <c r="H97" s="27" t="s">
        <v>38</v>
      </c>
      <c r="I97" s="34">
        <v>74</v>
      </c>
    </row>
    <row r="98" spans="1:9" ht="13.15">
      <c r="A98" s="18">
        <v>71</v>
      </c>
      <c r="B98" s="19" t="s">
        <v>200</v>
      </c>
      <c r="C98" s="36">
        <v>67</v>
      </c>
      <c r="D98" s="28" t="s">
        <v>201</v>
      </c>
      <c r="E98" s="28" t="s">
        <v>69</v>
      </c>
      <c r="F98" s="29">
        <v>23.6</v>
      </c>
      <c r="G98" s="29">
        <v>27.8</v>
      </c>
      <c r="H98" s="27" t="s">
        <v>83</v>
      </c>
      <c r="I98" s="34">
        <v>129</v>
      </c>
    </row>
    <row r="99" spans="1:9" ht="26.25">
      <c r="A99" s="18">
        <v>69</v>
      </c>
      <c r="B99" s="19" t="s">
        <v>202</v>
      </c>
      <c r="C99" s="36">
        <v>68</v>
      </c>
      <c r="D99" s="28" t="s">
        <v>203</v>
      </c>
      <c r="E99" s="28" t="s">
        <v>69</v>
      </c>
      <c r="F99" s="29">
        <v>42.4</v>
      </c>
      <c r="G99" s="29">
        <v>49.3</v>
      </c>
      <c r="H99" s="27" t="s">
        <v>119</v>
      </c>
      <c r="I99" s="34">
        <v>73</v>
      </c>
    </row>
    <row r="100" spans="1:9" ht="26.25">
      <c r="A100" s="18">
        <v>72</v>
      </c>
      <c r="B100" s="19" t="s">
        <v>204</v>
      </c>
      <c r="C100" s="36">
        <v>69</v>
      </c>
      <c r="D100" s="28" t="s">
        <v>205</v>
      </c>
      <c r="E100" s="28" t="s">
        <v>91</v>
      </c>
      <c r="F100" s="29">
        <v>49.1</v>
      </c>
      <c r="G100" s="29">
        <v>59.2</v>
      </c>
      <c r="H100" s="27" t="s">
        <v>88</v>
      </c>
      <c r="I100" s="34">
        <v>61</v>
      </c>
    </row>
    <row r="101" spans="1:9" ht="26.25">
      <c r="A101" s="18">
        <v>73</v>
      </c>
      <c r="B101" s="19" t="s">
        <v>206</v>
      </c>
      <c r="C101" s="36">
        <v>70</v>
      </c>
      <c r="D101" s="28" t="s">
        <v>207</v>
      </c>
      <c r="E101" s="28" t="s">
        <v>69</v>
      </c>
      <c r="F101" s="29">
        <v>16.8</v>
      </c>
      <c r="G101" s="29">
        <v>18.8</v>
      </c>
      <c r="H101" s="27" t="s">
        <v>119</v>
      </c>
      <c r="I101" s="34">
        <v>191</v>
      </c>
    </row>
    <row r="102" spans="1:9" s="2" customFormat="1" ht="13.15">
      <c r="A102" s="18">
        <v>74</v>
      </c>
      <c r="B102" s="19" t="s">
        <v>208</v>
      </c>
      <c r="C102" s="36">
        <v>71</v>
      </c>
      <c r="D102" s="28" t="s">
        <v>209</v>
      </c>
      <c r="E102" s="28" t="s">
        <v>69</v>
      </c>
      <c r="F102" s="29">
        <v>36.799999999999997</v>
      </c>
      <c r="G102" s="29">
        <v>43.5</v>
      </c>
      <c r="H102" s="27" t="s">
        <v>136</v>
      </c>
      <c r="I102" s="34">
        <v>83</v>
      </c>
    </row>
    <row r="103" spans="1:9" s="2" customFormat="1" ht="13.15">
      <c r="A103" s="18">
        <v>75</v>
      </c>
      <c r="B103" s="19" t="s">
        <v>210</v>
      </c>
      <c r="C103" s="36">
        <v>72</v>
      </c>
      <c r="D103" s="28" t="s">
        <v>211</v>
      </c>
      <c r="E103" s="28" t="s">
        <v>69</v>
      </c>
      <c r="F103" s="29">
        <v>43.1</v>
      </c>
      <c r="G103" s="29">
        <v>50.6</v>
      </c>
      <c r="H103" s="27" t="s">
        <v>139</v>
      </c>
      <c r="I103" s="34">
        <v>71</v>
      </c>
    </row>
    <row r="104" spans="1:9" ht="26.25">
      <c r="A104" s="18">
        <v>76</v>
      </c>
      <c r="B104" s="19" t="s">
        <v>212</v>
      </c>
      <c r="C104" s="36">
        <v>81</v>
      </c>
      <c r="D104" s="28" t="s">
        <v>213</v>
      </c>
      <c r="E104" s="28" t="s">
        <v>91</v>
      </c>
      <c r="F104" s="29">
        <v>55.2</v>
      </c>
      <c r="G104" s="29">
        <v>66.900000000000006</v>
      </c>
      <c r="H104" s="27" t="s">
        <v>88</v>
      </c>
      <c r="I104" s="34">
        <v>54</v>
      </c>
    </row>
    <row r="105" spans="1:9" s="2" customFormat="1" ht="13.15">
      <c r="A105" s="18">
        <v>77</v>
      </c>
      <c r="B105" s="19" t="s">
        <v>214</v>
      </c>
      <c r="C105" s="36">
        <v>73</v>
      </c>
      <c r="D105" s="28" t="s">
        <v>215</v>
      </c>
      <c r="E105" s="28" t="s">
        <v>69</v>
      </c>
      <c r="F105" s="29">
        <v>66.2</v>
      </c>
      <c r="G105" s="29">
        <v>78.3</v>
      </c>
      <c r="H105" s="27" t="s">
        <v>139</v>
      </c>
      <c r="I105" s="34">
        <v>46</v>
      </c>
    </row>
    <row r="106" spans="1:9" s="2" customFormat="1" ht="26.25">
      <c r="A106" s="18">
        <v>78</v>
      </c>
      <c r="B106" s="19" t="s">
        <v>216</v>
      </c>
      <c r="C106" s="36">
        <v>74</v>
      </c>
      <c r="D106" s="28" t="s">
        <v>217</v>
      </c>
      <c r="E106" s="28" t="s">
        <v>218</v>
      </c>
      <c r="F106" s="29">
        <v>48.2</v>
      </c>
      <c r="G106" s="29">
        <v>57.4</v>
      </c>
      <c r="H106" s="27" t="s">
        <v>88</v>
      </c>
      <c r="I106" s="34">
        <v>63</v>
      </c>
    </row>
    <row r="107" spans="1:9" s="2" customFormat="1" ht="13.15">
      <c r="A107" s="18">
        <v>79</v>
      </c>
      <c r="B107" s="19" t="s">
        <v>219</v>
      </c>
      <c r="C107" s="36">
        <v>75</v>
      </c>
      <c r="D107" s="28" t="s">
        <v>220</v>
      </c>
      <c r="E107" s="28" t="s">
        <v>69</v>
      </c>
      <c r="F107" s="29">
        <v>49.3</v>
      </c>
      <c r="G107" s="29">
        <v>58.5</v>
      </c>
      <c r="H107" s="27" t="s">
        <v>157</v>
      </c>
      <c r="I107" s="34">
        <v>62</v>
      </c>
    </row>
    <row r="108" spans="1:9" ht="13.15">
      <c r="A108" s="18">
        <v>120</v>
      </c>
      <c r="B108" s="19" t="s">
        <v>221</v>
      </c>
      <c r="C108" s="36">
        <v>76</v>
      </c>
      <c r="D108" s="28" t="s">
        <v>222</v>
      </c>
      <c r="E108" s="28" t="s">
        <v>37</v>
      </c>
      <c r="F108" s="29">
        <v>46.8</v>
      </c>
      <c r="G108" s="29">
        <v>51.7</v>
      </c>
      <c r="H108" s="27" t="s">
        <v>223</v>
      </c>
      <c r="I108" s="34">
        <v>70</v>
      </c>
    </row>
    <row r="109" spans="1:9" ht="11.65">
      <c r="A109" s="18"/>
      <c r="B109" s="39" t="s">
        <v>224</v>
      </c>
      <c r="C109" s="47"/>
      <c r="D109" s="13" t="s">
        <v>224</v>
      </c>
      <c r="E109" s="13"/>
      <c r="F109" s="13"/>
      <c r="G109" s="13"/>
      <c r="H109" s="13"/>
      <c r="I109" s="13"/>
    </row>
    <row r="110" spans="1:9" s="3" customFormat="1" ht="13.15">
      <c r="A110" s="18">
        <v>80</v>
      </c>
      <c r="B110" s="40" t="s">
        <v>225</v>
      </c>
      <c r="C110" s="36">
        <v>90</v>
      </c>
      <c r="D110" s="37" t="s">
        <v>226</v>
      </c>
      <c r="E110" s="37" t="s">
        <v>37</v>
      </c>
      <c r="F110" s="38">
        <v>32.799999999999997</v>
      </c>
      <c r="G110" s="38">
        <v>36.200000000000003</v>
      </c>
      <c r="H110" s="36" t="s">
        <v>76</v>
      </c>
      <c r="I110" s="42">
        <v>99</v>
      </c>
    </row>
    <row r="111" spans="1:9" s="3" customFormat="1" ht="26.25">
      <c r="A111" s="18">
        <v>31</v>
      </c>
      <c r="B111" s="19" t="s">
        <v>227</v>
      </c>
      <c r="C111" s="36">
        <v>77</v>
      </c>
      <c r="D111" s="28" t="s">
        <v>228</v>
      </c>
      <c r="E111" s="28" t="s">
        <v>229</v>
      </c>
      <c r="F111" s="29">
        <v>37.299999999999997</v>
      </c>
      <c r="G111" s="29">
        <v>41.2</v>
      </c>
      <c r="H111" s="27" t="s">
        <v>223</v>
      </c>
      <c r="I111" s="34">
        <v>87</v>
      </c>
    </row>
    <row r="112" spans="1:9" ht="26.25">
      <c r="A112" s="18">
        <v>32</v>
      </c>
      <c r="B112" s="19" t="s">
        <v>230</v>
      </c>
      <c r="C112" s="36">
        <v>78</v>
      </c>
      <c r="D112" s="28" t="s">
        <v>231</v>
      </c>
      <c r="E112" s="28" t="s">
        <v>37</v>
      </c>
      <c r="F112" s="29">
        <v>30.6</v>
      </c>
      <c r="G112" s="29">
        <v>33.799999999999997</v>
      </c>
      <c r="H112" s="27" t="s">
        <v>34</v>
      </c>
      <c r="I112" s="34">
        <v>107</v>
      </c>
    </row>
    <row r="113" spans="1:9" ht="26.25">
      <c r="A113" s="18">
        <v>33</v>
      </c>
      <c r="B113" s="19" t="s">
        <v>232</v>
      </c>
      <c r="C113" s="36">
        <v>79</v>
      </c>
      <c r="D113" s="28" t="s">
        <v>233</v>
      </c>
      <c r="E113" s="28" t="s">
        <v>234</v>
      </c>
      <c r="F113" s="29">
        <v>37.299999999999997</v>
      </c>
      <c r="G113" s="29">
        <v>41.2</v>
      </c>
      <c r="H113" s="27" t="s">
        <v>223</v>
      </c>
      <c r="I113" s="34">
        <v>87</v>
      </c>
    </row>
    <row r="114" spans="1:9" ht="13.15">
      <c r="A114" s="18">
        <v>34</v>
      </c>
      <c r="B114" s="19" t="s">
        <v>235</v>
      </c>
      <c r="C114" s="36">
        <v>80</v>
      </c>
      <c r="D114" s="28" t="s">
        <v>236</v>
      </c>
      <c r="E114" s="28" t="s">
        <v>37</v>
      </c>
      <c r="F114" s="29">
        <v>24.7</v>
      </c>
      <c r="G114" s="29">
        <v>27.2</v>
      </c>
      <c r="H114" s="27" t="s">
        <v>76</v>
      </c>
      <c r="I114" s="34">
        <v>132</v>
      </c>
    </row>
    <row r="115" spans="1:9" ht="13.15">
      <c r="A115" s="18">
        <v>35</v>
      </c>
      <c r="B115" s="19" t="s">
        <v>237</v>
      </c>
      <c r="C115" s="36">
        <v>86</v>
      </c>
      <c r="D115" s="28" t="s">
        <v>238</v>
      </c>
      <c r="E115" s="28" t="s">
        <v>239</v>
      </c>
      <c r="F115" s="29">
        <v>13.3</v>
      </c>
      <c r="G115" s="29">
        <v>14.7</v>
      </c>
      <c r="H115" s="27" t="s">
        <v>223</v>
      </c>
      <c r="I115" s="34">
        <v>245</v>
      </c>
    </row>
    <row r="116" spans="1:9" ht="13.15">
      <c r="A116" s="18"/>
      <c r="B116" s="40" t="s">
        <v>240</v>
      </c>
      <c r="C116" s="49"/>
      <c r="D116" s="5" t="s">
        <v>241</v>
      </c>
      <c r="E116" s="5"/>
      <c r="F116" s="5"/>
      <c r="G116" s="5">
        <f>SUM(G110:G115)</f>
        <v>194.3</v>
      </c>
      <c r="H116" s="5"/>
      <c r="I116" s="5"/>
    </row>
    <row r="117" spans="1:9" ht="11.65">
      <c r="A117" s="18">
        <v>126</v>
      </c>
      <c r="B117" s="40" t="s">
        <v>242</v>
      </c>
      <c r="C117" s="47"/>
      <c r="D117" s="12"/>
      <c r="E117" s="12"/>
      <c r="F117" s="12"/>
      <c r="G117" s="12"/>
      <c r="H117" s="12"/>
      <c r="I117" s="12"/>
    </row>
    <row r="118" spans="1:9" ht="26.25">
      <c r="A118" s="18">
        <v>103</v>
      </c>
      <c r="B118" s="40" t="s">
        <v>243</v>
      </c>
      <c r="C118" s="36">
        <v>92</v>
      </c>
      <c r="D118" s="28" t="s">
        <v>243</v>
      </c>
      <c r="E118" s="28" t="s">
        <v>244</v>
      </c>
      <c r="F118" s="29">
        <v>78.5</v>
      </c>
      <c r="G118" s="29">
        <v>88.4</v>
      </c>
      <c r="H118" s="27" t="s">
        <v>157</v>
      </c>
      <c r="I118" s="34">
        <v>41</v>
      </c>
    </row>
    <row r="119" spans="1:9" ht="26.25">
      <c r="A119" s="18">
        <v>105</v>
      </c>
      <c r="B119" s="40" t="s">
        <v>245</v>
      </c>
      <c r="C119" s="36">
        <v>93</v>
      </c>
      <c r="D119" s="28" t="s">
        <v>222</v>
      </c>
      <c r="E119" s="28" t="s">
        <v>246</v>
      </c>
      <c r="F119" s="29">
        <v>59.9</v>
      </c>
      <c r="G119" s="29">
        <v>66.2</v>
      </c>
      <c r="H119" s="27" t="s">
        <v>223</v>
      </c>
      <c r="I119" s="34">
        <v>54</v>
      </c>
    </row>
    <row r="120" spans="1:9" ht="13.15">
      <c r="A120" s="18">
        <v>96</v>
      </c>
      <c r="B120" s="50" t="s">
        <v>247</v>
      </c>
      <c r="C120" s="36">
        <v>94</v>
      </c>
      <c r="D120" s="28" t="s">
        <v>247</v>
      </c>
      <c r="E120" s="28" t="s">
        <v>37</v>
      </c>
      <c r="F120" s="29">
        <v>2.9</v>
      </c>
      <c r="G120" s="29">
        <v>3.2</v>
      </c>
      <c r="H120" s="27" t="s">
        <v>76</v>
      </c>
      <c r="I120" s="34">
        <v>1125</v>
      </c>
    </row>
    <row r="121" spans="1:9" ht="13.15">
      <c r="A121" s="18">
        <v>172</v>
      </c>
      <c r="B121" s="40" t="s">
        <v>248</v>
      </c>
      <c r="C121" s="36">
        <v>103</v>
      </c>
      <c r="D121" s="28" t="s">
        <v>248</v>
      </c>
      <c r="E121" s="28" t="s">
        <v>37</v>
      </c>
      <c r="F121" s="29">
        <v>3.7</v>
      </c>
      <c r="G121" s="29">
        <v>4.0999999999999996</v>
      </c>
      <c r="H121" s="27" t="s">
        <v>249</v>
      </c>
      <c r="I121" s="34">
        <v>878</v>
      </c>
    </row>
    <row r="122" spans="1:9" ht="13.15">
      <c r="A122" s="18">
        <v>122</v>
      </c>
      <c r="B122" s="40" t="s">
        <v>250</v>
      </c>
      <c r="C122" s="36">
        <v>95</v>
      </c>
      <c r="D122" s="28" t="s">
        <v>251</v>
      </c>
      <c r="E122" s="28" t="s">
        <v>37</v>
      </c>
      <c r="F122" s="29">
        <v>5.9</v>
      </c>
      <c r="G122" s="29">
        <v>6.5</v>
      </c>
      <c r="H122" s="27" t="s">
        <v>76</v>
      </c>
      <c r="I122" s="34">
        <v>554</v>
      </c>
    </row>
    <row r="123" spans="1:9" ht="13.15">
      <c r="A123" s="18">
        <v>124</v>
      </c>
      <c r="B123" s="40" t="s">
        <v>252</v>
      </c>
      <c r="C123" s="36">
        <v>108</v>
      </c>
      <c r="D123" s="28" t="s">
        <v>253</v>
      </c>
      <c r="E123" s="28" t="s">
        <v>37</v>
      </c>
      <c r="F123" s="29">
        <v>5.0999999999999996</v>
      </c>
      <c r="G123" s="29">
        <v>5.6</v>
      </c>
      <c r="H123" s="27" t="s">
        <v>76</v>
      </c>
      <c r="I123" s="34">
        <v>643</v>
      </c>
    </row>
    <row r="124" spans="1:9" ht="13.15">
      <c r="A124" s="18">
        <v>123</v>
      </c>
      <c r="B124" s="40" t="s">
        <v>254</v>
      </c>
      <c r="C124" s="36">
        <v>109</v>
      </c>
      <c r="D124" s="28" t="s">
        <v>255</v>
      </c>
      <c r="E124" s="28" t="s">
        <v>37</v>
      </c>
      <c r="F124" s="29">
        <v>13.1</v>
      </c>
      <c r="G124" s="29">
        <v>14.5</v>
      </c>
      <c r="H124" s="27" t="s">
        <v>76</v>
      </c>
      <c r="I124" s="34">
        <v>248</v>
      </c>
    </row>
    <row r="125" spans="1:9" ht="13.15">
      <c r="A125" s="18">
        <v>95</v>
      </c>
      <c r="B125" s="40" t="s">
        <v>256</v>
      </c>
      <c r="C125" s="36">
        <v>97</v>
      </c>
      <c r="D125" s="28" t="s">
        <v>256</v>
      </c>
      <c r="E125" s="28" t="s">
        <v>37</v>
      </c>
      <c r="F125" s="29">
        <v>5.8</v>
      </c>
      <c r="G125" s="29">
        <v>6.4</v>
      </c>
      <c r="H125" s="27" t="s">
        <v>76</v>
      </c>
      <c r="I125" s="34">
        <v>563</v>
      </c>
    </row>
    <row r="126" spans="1:9" ht="13.15">
      <c r="A126" s="18">
        <v>140</v>
      </c>
      <c r="B126" s="40" t="s">
        <v>257</v>
      </c>
      <c r="C126" s="36">
        <v>98</v>
      </c>
      <c r="D126" s="28" t="s">
        <v>257</v>
      </c>
      <c r="E126" s="28" t="s">
        <v>37</v>
      </c>
      <c r="F126" s="29">
        <v>2.9</v>
      </c>
      <c r="G126" s="29">
        <v>3.2</v>
      </c>
      <c r="H126" s="27" t="s">
        <v>76</v>
      </c>
      <c r="I126" s="34">
        <v>1125</v>
      </c>
    </row>
    <row r="127" spans="1:9" ht="13.15">
      <c r="A127" s="18">
        <v>154</v>
      </c>
      <c r="B127" s="40" t="s">
        <v>258</v>
      </c>
      <c r="C127" s="36">
        <v>99</v>
      </c>
      <c r="D127" s="28" t="s">
        <v>259</v>
      </c>
      <c r="E127" s="28" t="s">
        <v>37</v>
      </c>
      <c r="F127" s="29">
        <v>14.7</v>
      </c>
      <c r="G127" s="29">
        <v>16.2</v>
      </c>
      <c r="H127" s="27" t="s">
        <v>76</v>
      </c>
      <c r="I127" s="34">
        <v>222</v>
      </c>
    </row>
    <row r="128" spans="1:9" ht="13.15">
      <c r="A128" s="18">
        <v>121</v>
      </c>
      <c r="B128" s="40" t="s">
        <v>260</v>
      </c>
      <c r="C128" s="36">
        <v>100</v>
      </c>
      <c r="D128" s="28" t="s">
        <v>261</v>
      </c>
      <c r="E128" s="28" t="s">
        <v>37</v>
      </c>
      <c r="F128" s="29">
        <v>16</v>
      </c>
      <c r="G128" s="29">
        <v>17.7</v>
      </c>
      <c r="H128" s="27" t="s">
        <v>76</v>
      </c>
      <c r="I128" s="34">
        <v>203</v>
      </c>
    </row>
    <row r="129" spans="1:9" ht="13.15">
      <c r="A129" s="18">
        <v>112</v>
      </c>
      <c r="B129" s="40" t="s">
        <v>262</v>
      </c>
      <c r="C129" s="36">
        <v>110</v>
      </c>
      <c r="D129" s="28" t="s">
        <v>263</v>
      </c>
      <c r="E129" s="28" t="s">
        <v>37</v>
      </c>
      <c r="F129" s="29">
        <v>7.4</v>
      </c>
      <c r="G129" s="29">
        <v>8.1999999999999993</v>
      </c>
      <c r="H129" s="27" t="s">
        <v>76</v>
      </c>
      <c r="I129" s="34">
        <v>439</v>
      </c>
    </row>
    <row r="130" spans="1:9" ht="13.15">
      <c r="A130" s="18">
        <v>152</v>
      </c>
      <c r="B130" s="40" t="s">
        <v>264</v>
      </c>
      <c r="C130" s="36">
        <v>105</v>
      </c>
      <c r="D130" s="28" t="s">
        <v>264</v>
      </c>
      <c r="E130" s="28" t="s">
        <v>37</v>
      </c>
      <c r="F130" s="29">
        <v>1.4</v>
      </c>
      <c r="G130" s="29">
        <v>1.6</v>
      </c>
      <c r="H130" s="27" t="s">
        <v>249</v>
      </c>
      <c r="I130" s="34">
        <v>2250</v>
      </c>
    </row>
    <row r="131" spans="1:9" ht="13.15">
      <c r="A131" s="18">
        <v>102</v>
      </c>
      <c r="B131" s="40" t="s">
        <v>265</v>
      </c>
      <c r="C131" s="36">
        <v>104</v>
      </c>
      <c r="D131" s="28" t="s">
        <v>265</v>
      </c>
      <c r="E131" s="28" t="s">
        <v>37</v>
      </c>
      <c r="F131" s="29">
        <v>3.8</v>
      </c>
      <c r="G131" s="29">
        <v>4.2</v>
      </c>
      <c r="H131" s="27" t="s">
        <v>249</v>
      </c>
      <c r="I131" s="34">
        <v>857</v>
      </c>
    </row>
    <row r="132" spans="1:9" ht="13.15">
      <c r="A132" s="18">
        <v>101</v>
      </c>
      <c r="B132" s="40" t="s">
        <v>266</v>
      </c>
      <c r="C132" s="36">
        <v>106</v>
      </c>
      <c r="D132" s="28" t="s">
        <v>267</v>
      </c>
      <c r="E132" s="28" t="s">
        <v>37</v>
      </c>
      <c r="F132" s="29">
        <v>4.5</v>
      </c>
      <c r="G132" s="29">
        <v>5</v>
      </c>
      <c r="H132" s="27" t="s">
        <v>76</v>
      </c>
      <c r="I132" s="34">
        <v>720</v>
      </c>
    </row>
    <row r="133" spans="1:9" ht="13.15">
      <c r="A133" s="18">
        <v>131</v>
      </c>
      <c r="B133" s="51" t="s">
        <v>268</v>
      </c>
      <c r="C133" s="36" t="s">
        <v>269</v>
      </c>
      <c r="D133" s="28" t="s">
        <v>268</v>
      </c>
      <c r="E133" s="28" t="s">
        <v>37</v>
      </c>
      <c r="F133" s="29"/>
      <c r="G133" s="29">
        <v>36.4</v>
      </c>
      <c r="H133" s="27" t="s">
        <v>76</v>
      </c>
      <c r="I133" s="34">
        <v>99</v>
      </c>
    </row>
    <row r="134" spans="1:9" ht="26.25">
      <c r="A134" s="18">
        <v>165</v>
      </c>
      <c r="B134" s="40" t="s">
        <v>270</v>
      </c>
      <c r="C134" s="36">
        <v>102</v>
      </c>
      <c r="D134" s="28" t="s">
        <v>271</v>
      </c>
      <c r="E134" s="28" t="s">
        <v>37</v>
      </c>
      <c r="F134" s="29">
        <v>11.2</v>
      </c>
      <c r="G134" s="29">
        <v>12.3</v>
      </c>
      <c r="H134" s="27" t="s">
        <v>76</v>
      </c>
      <c r="I134" s="34">
        <v>232</v>
      </c>
    </row>
    <row r="135" spans="1:9" ht="26.25">
      <c r="A135" s="18">
        <v>168</v>
      </c>
      <c r="B135" s="40" t="s">
        <v>272</v>
      </c>
      <c r="C135" s="36">
        <v>111</v>
      </c>
      <c r="D135" s="28" t="s">
        <v>273</v>
      </c>
      <c r="E135" s="28" t="s">
        <v>37</v>
      </c>
      <c r="F135" s="29">
        <v>3.4</v>
      </c>
      <c r="G135" s="29">
        <v>3.8</v>
      </c>
      <c r="H135" s="27" t="s">
        <v>76</v>
      </c>
      <c r="I135" s="34">
        <v>947</v>
      </c>
    </row>
    <row r="136" spans="1:9" ht="13.15">
      <c r="A136" s="18">
        <v>169</v>
      </c>
      <c r="B136" s="40" t="s">
        <v>274</v>
      </c>
      <c r="C136" s="36">
        <v>107</v>
      </c>
      <c r="D136" s="28" t="s">
        <v>274</v>
      </c>
      <c r="E136" s="28" t="s">
        <v>37</v>
      </c>
      <c r="F136" s="29">
        <v>0.9</v>
      </c>
      <c r="G136" s="29">
        <v>1</v>
      </c>
      <c r="H136" s="27" t="s">
        <v>249</v>
      </c>
      <c r="I136" s="34">
        <v>3600</v>
      </c>
    </row>
    <row r="137" spans="1:9" ht="11.65">
      <c r="G137" s="4">
        <f>SUM(G118:G136)</f>
        <v>304.5</v>
      </c>
    </row>
    <row r="138" spans="1:9" ht="11.65">
      <c r="A138" s="72" t="s">
        <v>275</v>
      </c>
      <c r="B138" s="72"/>
      <c r="C138" s="72"/>
      <c r="D138" s="73"/>
      <c r="E138" s="73"/>
      <c r="F138" s="73"/>
      <c r="G138" s="73"/>
      <c r="H138" s="73"/>
      <c r="I138" s="73"/>
    </row>
    <row r="139" spans="1:9" ht="11.65">
      <c r="A139" s="72"/>
      <c r="B139" s="72"/>
      <c r="C139" s="72"/>
      <c r="D139" s="73"/>
      <c r="E139" s="73"/>
      <c r="F139" s="73"/>
      <c r="G139" s="73"/>
      <c r="H139" s="73"/>
      <c r="I139" s="73"/>
    </row>
    <row r="140" spans="1:9" ht="11.65"/>
  </sheetData>
  <autoFilter ref="A20:CM138" xr:uid="{00000000-0009-0000-0000-000000000000}"/>
  <mergeCells count="28">
    <mergeCell ref="A139:I139"/>
    <mergeCell ref="D40:D41"/>
    <mergeCell ref="E40:E41"/>
    <mergeCell ref="F40:F41"/>
    <mergeCell ref="G40:G41"/>
    <mergeCell ref="H40:H41"/>
    <mergeCell ref="I40:I41"/>
    <mergeCell ref="B16:F16"/>
    <mergeCell ref="B17:F17"/>
    <mergeCell ref="B18:F18"/>
    <mergeCell ref="B19:F19"/>
    <mergeCell ref="A138:I138"/>
    <mergeCell ref="G4:I19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I1"/>
    <mergeCell ref="A2:I2"/>
    <mergeCell ref="A3:I3"/>
    <mergeCell ref="B4:F4"/>
    <mergeCell ref="B5:F5"/>
  </mergeCells>
  <conditionalFormatting sqref="A21:A136">
    <cfRule type="duplicateValues" dxfId="1" priority="7"/>
  </conditionalFormatting>
  <printOptions horizontalCentered="1"/>
  <pageMargins left="7.9166666666666705E-2" right="7.9166666666666705E-2" top="0.39652777777777798" bottom="0.39652777777777798" header="0.19791666666666699" footer="0.19791666666666699"/>
  <pageSetup paperSize="9" orientation="portrait"/>
  <headerFooter>
    <oddFooter>&amp;R&amp;D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35"/>
  <sheetViews>
    <sheetView zoomScale="145" zoomScaleNormal="145" workbookViewId="0">
      <selection activeCell="J86" sqref="J1:J1048576"/>
    </sheetView>
  </sheetViews>
  <sheetFormatPr defaultColWidth="9" defaultRowHeight="11.65"/>
  <cols>
    <col min="1" max="1" width="9.59765625" style="4" customWidth="1"/>
    <col min="2" max="2" width="20.1328125" style="4" customWidth="1"/>
    <col min="3" max="3" width="3.1328125" style="4" hidden="1" customWidth="1"/>
    <col min="4" max="4" width="25.9296875" style="4" customWidth="1"/>
    <col min="5" max="5" width="10.59765625" style="4" customWidth="1"/>
    <col min="6" max="6" width="7.59765625" style="4" customWidth="1"/>
    <col min="7" max="7" width="7.1328125" style="4" customWidth="1"/>
    <col min="8" max="9" width="7.59765625" style="4" customWidth="1"/>
    <col min="10" max="10" width="9" style="4" hidden="1" customWidth="1"/>
    <col min="11" max="99" width="9" style="4"/>
    <col min="100" max="100" width="59.59765625" style="4" customWidth="1"/>
    <col min="101" max="16384" width="9" style="4"/>
  </cols>
  <sheetData>
    <row r="1" spans="1:100" s="1" customFormat="1" ht="25.5">
      <c r="A1" s="54" t="s">
        <v>0</v>
      </c>
      <c r="B1" s="83"/>
      <c r="C1" s="54"/>
      <c r="D1" s="54"/>
      <c r="E1" s="54"/>
      <c r="F1" s="54"/>
      <c r="G1" s="54"/>
      <c r="H1" s="54"/>
      <c r="I1" s="54"/>
    </row>
    <row r="2" spans="1:100" s="1" customFormat="1" ht="21">
      <c r="A2" s="56" t="s">
        <v>1</v>
      </c>
      <c r="B2" s="83"/>
      <c r="C2" s="56"/>
      <c r="D2" s="56"/>
      <c r="E2" s="56"/>
      <c r="F2" s="56"/>
      <c r="G2" s="56"/>
      <c r="H2" s="56"/>
      <c r="I2" s="56"/>
    </row>
    <row r="3" spans="1:100" s="1" customFormat="1" ht="13.15">
      <c r="A3" s="59" t="s">
        <v>2</v>
      </c>
      <c r="B3" s="84"/>
      <c r="C3" s="59"/>
      <c r="D3" s="59"/>
      <c r="E3" s="59"/>
      <c r="F3" s="59"/>
      <c r="G3" s="59"/>
      <c r="H3" s="59"/>
      <c r="I3" s="59"/>
    </row>
    <row r="4" spans="1:100" s="1" customFormat="1" ht="13.15">
      <c r="A4" s="5" t="s">
        <v>3</v>
      </c>
      <c r="B4" s="85" t="s">
        <v>4</v>
      </c>
      <c r="C4" s="62"/>
      <c r="D4" s="62"/>
      <c r="E4" s="62"/>
      <c r="F4" s="62"/>
      <c r="G4" s="82"/>
      <c r="H4" s="82"/>
      <c r="I4" s="82"/>
    </row>
    <row r="5" spans="1:100" s="1" customFormat="1" ht="13.15">
      <c r="A5" s="5" t="s">
        <v>5</v>
      </c>
      <c r="B5" s="84" t="s">
        <v>6</v>
      </c>
      <c r="C5" s="59"/>
      <c r="D5" s="59"/>
      <c r="E5" s="59"/>
      <c r="F5" s="59"/>
      <c r="G5" s="82"/>
      <c r="H5" s="82"/>
      <c r="I5" s="82"/>
    </row>
    <row r="6" spans="1:100" s="1" customFormat="1" ht="13.15">
      <c r="A6" s="5" t="s">
        <v>7</v>
      </c>
      <c r="B6" s="85" t="s">
        <v>4</v>
      </c>
      <c r="C6" s="62"/>
      <c r="D6" s="62"/>
      <c r="E6" s="62"/>
      <c r="F6" s="62"/>
      <c r="G6" s="82"/>
      <c r="H6" s="82"/>
      <c r="I6" s="82"/>
    </row>
    <row r="7" spans="1:100" s="1" customFormat="1" ht="12" customHeight="1">
      <c r="A7" s="5" t="s">
        <v>8</v>
      </c>
      <c r="B7" s="86" t="s">
        <v>9</v>
      </c>
      <c r="C7" s="65"/>
      <c r="D7" s="65"/>
      <c r="E7" s="65"/>
      <c r="F7" s="65"/>
      <c r="G7" s="82"/>
      <c r="H7" s="82"/>
      <c r="I7" s="82"/>
      <c r="CV7" s="35"/>
    </row>
    <row r="8" spans="1:100" s="1" customFormat="1" ht="12" customHeight="1">
      <c r="A8" s="5" t="s">
        <v>10</v>
      </c>
      <c r="B8" s="86"/>
      <c r="C8" s="65"/>
      <c r="D8" s="65"/>
      <c r="E8" s="65"/>
      <c r="F8" s="65"/>
      <c r="G8" s="82"/>
      <c r="H8" s="82"/>
      <c r="I8" s="82"/>
      <c r="CV8" s="35"/>
    </row>
    <row r="9" spans="1:100" s="1" customFormat="1" ht="13.15">
      <c r="A9" s="5" t="s">
        <v>11</v>
      </c>
      <c r="B9" s="84"/>
      <c r="C9" s="59"/>
      <c r="D9" s="59"/>
      <c r="E9" s="59"/>
      <c r="F9" s="59"/>
      <c r="G9" s="82"/>
      <c r="H9" s="82"/>
      <c r="I9" s="82"/>
    </row>
    <row r="10" spans="1:100" s="1" customFormat="1" ht="26.25">
      <c r="A10" s="7" t="s">
        <v>12</v>
      </c>
      <c r="B10" s="84">
        <f>SUM(G37:G49,G52:G68,G70:G89,G91:G94,G97:G106)</f>
        <v>1917.5</v>
      </c>
      <c r="C10" s="59"/>
      <c r="D10" s="59"/>
      <c r="E10" s="59"/>
      <c r="F10" s="59"/>
      <c r="G10" s="82"/>
      <c r="H10" s="82"/>
      <c r="I10" s="82"/>
    </row>
    <row r="11" spans="1:100" s="1" customFormat="1" ht="26.25">
      <c r="A11" s="7" t="s">
        <v>13</v>
      </c>
      <c r="B11" s="87">
        <f>60*60*10.5/B10</f>
        <v>19.7131681877445</v>
      </c>
      <c r="C11" s="68"/>
      <c r="D11" s="68"/>
      <c r="E11" s="68"/>
      <c r="F11" s="68"/>
      <c r="G11" s="82"/>
      <c r="H11" s="82"/>
      <c r="I11" s="82"/>
    </row>
    <row r="12" spans="1:100" s="1" customFormat="1" ht="13.15">
      <c r="A12" s="5" t="s">
        <v>14</v>
      </c>
      <c r="B12" s="84"/>
      <c r="C12" s="59"/>
      <c r="D12" s="59"/>
      <c r="E12" s="59"/>
      <c r="F12" s="59"/>
      <c r="G12" s="82"/>
      <c r="H12" s="82"/>
      <c r="I12" s="82"/>
    </row>
    <row r="13" spans="1:100" s="1" customFormat="1" ht="13.15">
      <c r="A13" s="5" t="s">
        <v>15</v>
      </c>
      <c r="B13" s="88"/>
      <c r="C13" s="71"/>
      <c r="D13" s="71"/>
      <c r="E13" s="71"/>
      <c r="F13" s="71"/>
      <c r="G13" s="82"/>
      <c r="H13" s="82"/>
      <c r="I13" s="82"/>
    </row>
    <row r="14" spans="1:100" s="1" customFormat="1" ht="26.25">
      <c r="A14" s="7" t="s">
        <v>16</v>
      </c>
      <c r="B14" s="84"/>
      <c r="C14" s="59"/>
      <c r="D14" s="59"/>
      <c r="E14" s="59"/>
      <c r="F14" s="59"/>
      <c r="G14" s="82"/>
      <c r="H14" s="82"/>
      <c r="I14" s="82"/>
    </row>
    <row r="15" spans="1:100" s="1" customFormat="1" ht="26.25">
      <c r="A15" s="7" t="s">
        <v>17</v>
      </c>
      <c r="B15" s="84"/>
      <c r="C15" s="59"/>
      <c r="D15" s="59"/>
      <c r="E15" s="59"/>
      <c r="F15" s="59"/>
      <c r="G15" s="82"/>
      <c r="H15" s="82"/>
      <c r="I15" s="82"/>
    </row>
    <row r="16" spans="1:100" s="1" customFormat="1" ht="26.25">
      <c r="A16" s="7" t="s">
        <v>18</v>
      </c>
      <c r="B16" s="84"/>
      <c r="C16" s="59"/>
      <c r="D16" s="59"/>
      <c r="E16" s="59"/>
      <c r="F16" s="59"/>
      <c r="G16" s="82"/>
      <c r="H16" s="82"/>
      <c r="I16" s="82"/>
    </row>
    <row r="17" spans="1:100" s="1" customFormat="1" ht="13.15">
      <c r="A17" s="7" t="s">
        <v>19</v>
      </c>
      <c r="B17" s="84"/>
      <c r="C17" s="59"/>
      <c r="D17" s="59"/>
      <c r="E17" s="59"/>
      <c r="F17" s="59"/>
      <c r="G17" s="82"/>
      <c r="H17" s="82"/>
      <c r="I17" s="82"/>
    </row>
    <row r="18" spans="1:100" s="1" customFormat="1" ht="12" customHeight="1">
      <c r="A18" s="5" t="s">
        <v>20</v>
      </c>
      <c r="B18" s="86"/>
      <c r="C18" s="65"/>
      <c r="D18" s="65"/>
      <c r="E18" s="65"/>
      <c r="F18" s="65"/>
      <c r="G18" s="82"/>
      <c r="H18" s="82"/>
      <c r="I18" s="82"/>
      <c r="CV18" s="35"/>
    </row>
    <row r="19" spans="1:100" s="1" customFormat="1" ht="12" customHeight="1">
      <c r="A19" s="5" t="s">
        <v>21</v>
      </c>
      <c r="B19" s="84" t="s">
        <v>22</v>
      </c>
      <c r="C19" s="59"/>
      <c r="D19" s="59"/>
      <c r="E19" s="59"/>
      <c r="F19" s="59"/>
      <c r="G19" s="82"/>
      <c r="H19" s="82"/>
      <c r="I19" s="82"/>
    </row>
    <row r="20" spans="1:100" s="1" customFormat="1" ht="26.25">
      <c r="A20" s="8" t="s">
        <v>23</v>
      </c>
      <c r="B20" s="9" t="s">
        <v>24</v>
      </c>
      <c r="C20" s="8"/>
      <c r="D20" s="8"/>
      <c r="E20" s="8" t="s">
        <v>25</v>
      </c>
      <c r="F20" s="8" t="s">
        <v>26</v>
      </c>
      <c r="G20" s="8" t="s">
        <v>27</v>
      </c>
      <c r="H20" s="8" t="s">
        <v>28</v>
      </c>
      <c r="I20" s="8" t="s">
        <v>29</v>
      </c>
    </row>
    <row r="21" spans="1:100">
      <c r="A21" s="10"/>
      <c r="B21" s="11" t="s">
        <v>30</v>
      </c>
      <c r="C21" s="12"/>
      <c r="D21" s="13" t="s">
        <v>30</v>
      </c>
      <c r="E21" s="13"/>
      <c r="F21" s="13"/>
      <c r="G21" s="13"/>
      <c r="H21" s="13"/>
      <c r="I21" s="13"/>
    </row>
    <row r="22" spans="1:100">
      <c r="A22" s="10">
        <v>1</v>
      </c>
      <c r="B22" s="14" t="s">
        <v>31</v>
      </c>
      <c r="C22" s="15">
        <v>1</v>
      </c>
      <c r="D22" s="16" t="s">
        <v>32</v>
      </c>
      <c r="E22" s="16" t="s">
        <v>33</v>
      </c>
      <c r="F22" s="17">
        <v>8.8000000000000007</v>
      </c>
      <c r="G22" s="17">
        <v>9.9</v>
      </c>
      <c r="H22" s="15" t="s">
        <v>34</v>
      </c>
      <c r="I22" s="32">
        <v>364</v>
      </c>
      <c r="J22" s="4">
        <f>VLOOKUP(D22,'[1]3111-001'!$B:$H,7,0)</f>
        <v>3.1699999999999999E-2</v>
      </c>
    </row>
    <row r="23" spans="1:100">
      <c r="A23" s="18">
        <v>155</v>
      </c>
      <c r="B23" s="19" t="s">
        <v>35</v>
      </c>
      <c r="C23" s="20">
        <v>2</v>
      </c>
      <c r="D23" s="21" t="s">
        <v>36</v>
      </c>
      <c r="E23" s="21" t="s">
        <v>37</v>
      </c>
      <c r="F23" s="17">
        <v>30.1</v>
      </c>
      <c r="G23" s="17">
        <v>33.299999999999997</v>
      </c>
      <c r="H23" s="15" t="s">
        <v>38</v>
      </c>
      <c r="I23" s="32">
        <v>108</v>
      </c>
      <c r="J23" s="4">
        <f>VLOOKUP(D23,'[1]3111-001'!$B:$H,7,0)</f>
        <v>0.1099</v>
      </c>
    </row>
    <row r="24" spans="1:100">
      <c r="A24" s="18">
        <v>2</v>
      </c>
      <c r="B24" s="19" t="s">
        <v>39</v>
      </c>
      <c r="C24" s="15">
        <v>4</v>
      </c>
      <c r="D24" s="21" t="s">
        <v>40</v>
      </c>
      <c r="E24" s="21" t="s">
        <v>37</v>
      </c>
      <c r="F24" s="17">
        <v>38.6</v>
      </c>
      <c r="G24" s="17">
        <v>42.6</v>
      </c>
      <c r="H24" s="15" t="s">
        <v>41</v>
      </c>
      <c r="I24" s="32">
        <v>85</v>
      </c>
      <c r="J24" s="4">
        <f>VLOOKUP(D24,'[1]3111-001'!$B:$H,7,0)</f>
        <v>0.16189999999999999</v>
      </c>
    </row>
    <row r="25" spans="1:100" ht="23.25">
      <c r="A25" s="18">
        <v>3</v>
      </c>
      <c r="B25" s="19" t="s">
        <v>42</v>
      </c>
      <c r="C25" s="15">
        <v>82</v>
      </c>
      <c r="D25" s="21" t="s">
        <v>43</v>
      </c>
      <c r="E25" s="21" t="s">
        <v>37</v>
      </c>
      <c r="F25" s="17">
        <v>2</v>
      </c>
      <c r="G25" s="17">
        <v>2.2000000000000002</v>
      </c>
      <c r="H25" s="15" t="s">
        <v>34</v>
      </c>
      <c r="I25" s="32">
        <v>1636</v>
      </c>
      <c r="J25" s="4">
        <f>VLOOKUP(D25,'[1]3111-001'!$B:$H,7,0)</f>
        <v>7.0000000000000001E-3</v>
      </c>
    </row>
    <row r="26" spans="1:100">
      <c r="A26" s="18">
        <v>4</v>
      </c>
      <c r="B26" s="19" t="s">
        <v>44</v>
      </c>
      <c r="C26" s="15">
        <v>3</v>
      </c>
      <c r="D26" s="21" t="s">
        <v>45</v>
      </c>
      <c r="E26" s="21" t="s">
        <v>37</v>
      </c>
      <c r="F26" s="17">
        <v>0.4</v>
      </c>
      <c r="G26" s="17">
        <v>0.4</v>
      </c>
      <c r="H26" s="15" t="s">
        <v>38</v>
      </c>
      <c r="I26" s="32">
        <v>9000</v>
      </c>
      <c r="J26" s="4">
        <f>VLOOKUP(D26,'[1]3111-001'!$B:$H,7,0)</f>
        <v>1.2999999999999999E-3</v>
      </c>
    </row>
    <row r="27" spans="1:100" ht="23.25">
      <c r="A27" s="18">
        <v>6</v>
      </c>
      <c r="B27" s="19" t="s">
        <v>46</v>
      </c>
      <c r="C27" s="20">
        <v>5</v>
      </c>
      <c r="D27" s="21" t="s">
        <v>47</v>
      </c>
      <c r="E27" s="21" t="s">
        <v>37</v>
      </c>
      <c r="F27" s="17">
        <v>1</v>
      </c>
      <c r="G27" s="17">
        <v>1.1000000000000001</v>
      </c>
      <c r="H27" s="15" t="s">
        <v>41</v>
      </c>
      <c r="I27" s="32">
        <v>3273</v>
      </c>
      <c r="J27" s="4">
        <f>VLOOKUP(D27,'[1]3111-001'!$B:$H,7,0)</f>
        <v>4.1999999999999997E-3</v>
      </c>
    </row>
    <row r="28" spans="1:100">
      <c r="A28" s="18">
        <v>5</v>
      </c>
      <c r="B28" s="19" t="s">
        <v>48</v>
      </c>
      <c r="C28" s="15">
        <v>6</v>
      </c>
      <c r="D28" s="21" t="s">
        <v>49</v>
      </c>
      <c r="E28" s="21" t="s">
        <v>37</v>
      </c>
      <c r="F28" s="17">
        <v>30.5</v>
      </c>
      <c r="G28" s="17">
        <v>33.700000000000003</v>
      </c>
      <c r="H28" s="15" t="s">
        <v>34</v>
      </c>
      <c r="I28" s="32">
        <v>107</v>
      </c>
      <c r="J28" s="4">
        <f>VLOOKUP(D28,'[1]3111-001'!$B:$H,7,0)</f>
        <v>0.10780000000000001</v>
      </c>
    </row>
    <row r="29" spans="1:100">
      <c r="A29" s="10">
        <v>7</v>
      </c>
      <c r="B29" s="14" t="s">
        <v>50</v>
      </c>
      <c r="C29" s="15">
        <v>7</v>
      </c>
      <c r="D29" s="16" t="s">
        <v>51</v>
      </c>
      <c r="E29" s="16" t="s">
        <v>37</v>
      </c>
      <c r="F29" s="17">
        <v>0.3</v>
      </c>
      <c r="G29" s="17">
        <v>0.3</v>
      </c>
      <c r="H29" s="15" t="s">
        <v>34</v>
      </c>
      <c r="I29" s="32">
        <v>12000</v>
      </c>
      <c r="J29" s="4">
        <f>VLOOKUP(D29,'[1]3111-001'!$B:$H,7,0)</f>
        <v>1E-3</v>
      </c>
    </row>
    <row r="30" spans="1:100">
      <c r="A30" s="10">
        <v>8</v>
      </c>
      <c r="B30" s="14" t="s">
        <v>52</v>
      </c>
      <c r="C30" s="15">
        <v>83</v>
      </c>
      <c r="D30" s="16" t="s">
        <v>53</v>
      </c>
      <c r="E30" s="16" t="s">
        <v>54</v>
      </c>
      <c r="F30" s="17">
        <v>0.7</v>
      </c>
      <c r="G30" s="17">
        <v>0.8</v>
      </c>
      <c r="H30" s="15" t="s">
        <v>34</v>
      </c>
      <c r="I30" s="32">
        <v>4500</v>
      </c>
      <c r="J30" s="4">
        <f>VLOOKUP(D30,'[1]3111-001'!$B:$H,7,0)</f>
        <v>2.5999999999999999E-3</v>
      </c>
    </row>
    <row r="31" spans="1:100">
      <c r="A31" s="10">
        <v>9</v>
      </c>
      <c r="B31" s="14" t="s">
        <v>55</v>
      </c>
      <c r="C31" s="15">
        <v>84</v>
      </c>
      <c r="D31" s="16" t="s">
        <v>56</v>
      </c>
      <c r="E31" s="16" t="s">
        <v>57</v>
      </c>
      <c r="F31" s="17">
        <v>1</v>
      </c>
      <c r="G31" s="17">
        <v>1</v>
      </c>
      <c r="H31" s="15" t="s">
        <v>41</v>
      </c>
      <c r="I31" s="32">
        <v>3600</v>
      </c>
      <c r="J31" s="4">
        <f>VLOOKUP(D31,'[1]3111-001'!$B:$H,7,0)</f>
        <v>3.8E-3</v>
      </c>
    </row>
    <row r="32" spans="1:100">
      <c r="A32" s="10">
        <v>10</v>
      </c>
      <c r="B32" s="14" t="s">
        <v>58</v>
      </c>
      <c r="C32" s="15">
        <v>85</v>
      </c>
      <c r="D32" s="16" t="s">
        <v>59</v>
      </c>
      <c r="E32" s="16" t="s">
        <v>37</v>
      </c>
      <c r="F32" s="17">
        <v>0.8</v>
      </c>
      <c r="G32" s="17">
        <v>0.9</v>
      </c>
      <c r="H32" s="15" t="s">
        <v>34</v>
      </c>
      <c r="I32" s="32">
        <v>4000</v>
      </c>
      <c r="J32" s="4">
        <f>VLOOKUP(D32,'[1]3111-001'!$B:$H,7,0)</f>
        <v>2.8999999999999998E-3</v>
      </c>
    </row>
    <row r="33" spans="1:10">
      <c r="A33" s="10">
        <v>170</v>
      </c>
      <c r="B33" s="14" t="s">
        <v>60</v>
      </c>
      <c r="C33" s="15">
        <v>9</v>
      </c>
      <c r="D33" s="16" t="s">
        <v>61</v>
      </c>
      <c r="E33" s="16" t="s">
        <v>37</v>
      </c>
      <c r="F33" s="17">
        <v>30.4</v>
      </c>
      <c r="G33" s="17">
        <v>33.6</v>
      </c>
      <c r="H33" s="15" t="s">
        <v>38</v>
      </c>
      <c r="I33" s="32">
        <v>107</v>
      </c>
      <c r="J33" s="4">
        <f>VLOOKUP(D33,'[1]3111-001'!$B:$H,7,0)</f>
        <v>0.1109</v>
      </c>
    </row>
    <row r="34" spans="1:10">
      <c r="A34" s="10">
        <v>13</v>
      </c>
      <c r="B34" s="14" t="s">
        <v>62</v>
      </c>
      <c r="C34" s="15">
        <v>14</v>
      </c>
      <c r="D34" s="16" t="s">
        <v>63</v>
      </c>
      <c r="E34" s="16" t="s">
        <v>64</v>
      </c>
      <c r="F34" s="17">
        <v>0.2</v>
      </c>
      <c r="G34" s="17">
        <v>0.2</v>
      </c>
      <c r="H34" s="15" t="s">
        <v>38</v>
      </c>
      <c r="I34" s="32">
        <v>18000</v>
      </c>
      <c r="J34" s="4">
        <f>VLOOKUP(D34,'[1]3111-001'!$B:$H,7,0)</f>
        <v>6.9999999999999999E-4</v>
      </c>
    </row>
    <row r="35" spans="1:10">
      <c r="A35" s="10">
        <v>11</v>
      </c>
      <c r="B35" s="14" t="s">
        <v>65</v>
      </c>
      <c r="C35" s="15"/>
      <c r="D35" s="16"/>
      <c r="E35" s="16"/>
      <c r="F35" s="17"/>
      <c r="G35" s="17"/>
      <c r="H35" s="15"/>
      <c r="I35" s="32"/>
    </row>
    <row r="36" spans="1:10">
      <c r="A36" s="10"/>
      <c r="B36" s="11" t="s">
        <v>66</v>
      </c>
      <c r="C36" s="12"/>
      <c r="D36" s="13" t="s">
        <v>66</v>
      </c>
      <c r="E36" s="13"/>
      <c r="F36" s="13"/>
      <c r="G36" s="13"/>
      <c r="H36" s="13"/>
      <c r="I36" s="13"/>
      <c r="J36" s="4">
        <f>VLOOKUP(D36,'[1]3111-001'!$B:$H,7,0)</f>
        <v>0</v>
      </c>
    </row>
    <row r="37" spans="1:10" ht="23.25">
      <c r="A37" s="10">
        <v>12</v>
      </c>
      <c r="B37" s="14" t="s">
        <v>67</v>
      </c>
      <c r="C37" s="15">
        <v>87</v>
      </c>
      <c r="D37" s="16" t="s">
        <v>68</v>
      </c>
      <c r="E37" s="16" t="s">
        <v>69</v>
      </c>
      <c r="F37" s="17">
        <v>1.4</v>
      </c>
      <c r="G37" s="17">
        <v>1.6</v>
      </c>
      <c r="H37" s="15" t="s">
        <v>70</v>
      </c>
      <c r="I37" s="32">
        <v>2250</v>
      </c>
      <c r="J37" s="4">
        <f>VLOOKUP(D37,'[1]3111-001'!$B:$H,7,0)</f>
        <v>5.5999999999999999E-3</v>
      </c>
    </row>
    <row r="38" spans="1:10">
      <c r="A38" s="10">
        <v>14</v>
      </c>
      <c r="B38" s="14" t="s">
        <v>71</v>
      </c>
      <c r="C38" s="15">
        <v>15</v>
      </c>
      <c r="D38" s="16" t="s">
        <v>72</v>
      </c>
      <c r="E38" s="16" t="s">
        <v>69</v>
      </c>
      <c r="F38" s="17">
        <v>1.6</v>
      </c>
      <c r="G38" s="17">
        <v>1.9</v>
      </c>
      <c r="H38" s="15" t="s">
        <v>73</v>
      </c>
      <c r="I38" s="32">
        <v>1895</v>
      </c>
      <c r="J38" s="4">
        <f>VLOOKUP(D38,'[1]3111-001'!$B:$H,7,0)</f>
        <v>6.7999999999999996E-3</v>
      </c>
    </row>
    <row r="39" spans="1:10">
      <c r="A39" s="10">
        <v>15</v>
      </c>
      <c r="B39" s="14" t="s">
        <v>74</v>
      </c>
      <c r="C39" s="15">
        <v>16</v>
      </c>
      <c r="D39" s="16" t="s">
        <v>75</v>
      </c>
      <c r="E39" s="16" t="s">
        <v>37</v>
      </c>
      <c r="F39" s="17">
        <v>1.8</v>
      </c>
      <c r="G39" s="17">
        <v>2</v>
      </c>
      <c r="H39" s="15" t="s">
        <v>76</v>
      </c>
      <c r="I39" s="32">
        <v>1800</v>
      </c>
      <c r="J39" s="4">
        <f>VLOOKUP(D39,'[1]3111-001'!$B:$H,7,0)</f>
        <v>6.1999999999999998E-3</v>
      </c>
    </row>
    <row r="40" spans="1:10">
      <c r="A40" s="10">
        <v>16</v>
      </c>
      <c r="B40" s="14" t="s">
        <v>77</v>
      </c>
      <c r="C40" s="15">
        <v>17</v>
      </c>
      <c r="D40" s="74" t="s">
        <v>78</v>
      </c>
      <c r="E40" s="74" t="s">
        <v>79</v>
      </c>
      <c r="F40" s="76">
        <v>14.5</v>
      </c>
      <c r="G40" s="76">
        <v>16.399999999999999</v>
      </c>
      <c r="H40" s="78" t="s">
        <v>70</v>
      </c>
      <c r="I40" s="80">
        <v>220</v>
      </c>
      <c r="J40" s="4">
        <f>VLOOKUP(D40,'[1]3111-001'!$B:$H,7,0)</f>
        <v>5.74E-2</v>
      </c>
    </row>
    <row r="41" spans="1:10">
      <c r="A41" s="10">
        <v>17</v>
      </c>
      <c r="B41" s="14" t="s">
        <v>80</v>
      </c>
      <c r="C41" s="20">
        <v>18</v>
      </c>
      <c r="D41" s="75"/>
      <c r="E41" s="75"/>
      <c r="F41" s="77"/>
      <c r="G41" s="77"/>
      <c r="H41" s="79"/>
      <c r="I41" s="81"/>
    </row>
    <row r="42" spans="1:10">
      <c r="A42" s="10">
        <v>18</v>
      </c>
      <c r="B42" s="14" t="s">
        <v>81</v>
      </c>
      <c r="C42" s="15">
        <v>19</v>
      </c>
      <c r="D42" s="16" t="s">
        <v>82</v>
      </c>
      <c r="E42" s="21" t="s">
        <v>69</v>
      </c>
      <c r="F42" s="17">
        <v>18.100000000000001</v>
      </c>
      <c r="G42" s="17">
        <v>20.5</v>
      </c>
      <c r="H42" s="15" t="s">
        <v>83</v>
      </c>
      <c r="I42" s="32">
        <v>176</v>
      </c>
      <c r="J42" s="4">
        <f>VLOOKUP(D42,'[1]3111-001'!$B:$H,7,0)</f>
        <v>8.4099999999999994E-2</v>
      </c>
    </row>
    <row r="43" spans="1:10" ht="23.25">
      <c r="A43" s="10">
        <v>19</v>
      </c>
      <c r="B43" s="14" t="s">
        <v>84</v>
      </c>
      <c r="C43" s="15">
        <v>20</v>
      </c>
      <c r="D43" s="16" t="s">
        <v>85</v>
      </c>
      <c r="E43" s="21" t="s">
        <v>69</v>
      </c>
      <c r="F43" s="17">
        <v>18.100000000000001</v>
      </c>
      <c r="G43" s="17">
        <v>20.5</v>
      </c>
      <c r="H43" s="15" t="s">
        <v>83</v>
      </c>
      <c r="I43" s="32">
        <v>176</v>
      </c>
      <c r="J43" s="4">
        <f>VLOOKUP(D43,'[1]3111-001'!$B:$H,7,0)</f>
        <v>8.4099999999999994E-2</v>
      </c>
    </row>
    <row r="44" spans="1:10">
      <c r="A44" s="10">
        <v>20</v>
      </c>
      <c r="B44" s="14" t="s">
        <v>86</v>
      </c>
      <c r="C44" s="15">
        <v>21</v>
      </c>
      <c r="D44" s="16" t="s">
        <v>87</v>
      </c>
      <c r="E44" s="21" t="s">
        <v>69</v>
      </c>
      <c r="F44" s="17">
        <v>12.8</v>
      </c>
      <c r="G44" s="17">
        <v>14.6</v>
      </c>
      <c r="H44" s="15" t="s">
        <v>88</v>
      </c>
      <c r="I44" s="32">
        <v>247</v>
      </c>
      <c r="J44" s="4">
        <f>VLOOKUP(D44,'[1]3111-001'!$B:$H,7,0)</f>
        <v>6.13E-2</v>
      </c>
    </row>
    <row r="45" spans="1:10" ht="23.25">
      <c r="A45" s="10">
        <v>21</v>
      </c>
      <c r="B45" s="14" t="s">
        <v>89</v>
      </c>
      <c r="C45" s="15">
        <v>22</v>
      </c>
      <c r="D45" s="16" t="s">
        <v>90</v>
      </c>
      <c r="E45" s="21" t="s">
        <v>91</v>
      </c>
      <c r="F45" s="17">
        <v>15.1</v>
      </c>
      <c r="G45" s="17">
        <v>17.399999999999999</v>
      </c>
      <c r="H45" s="15" t="s">
        <v>88</v>
      </c>
      <c r="I45" s="32">
        <v>207</v>
      </c>
      <c r="J45" s="4">
        <f>VLOOKUP(D45,'[1]3111-001'!$B:$H,7,0)</f>
        <v>7.3099999999999998E-2</v>
      </c>
    </row>
    <row r="46" spans="1:10" ht="34.9">
      <c r="A46" s="10">
        <v>22</v>
      </c>
      <c r="B46" s="14" t="s">
        <v>92</v>
      </c>
      <c r="C46" s="15">
        <v>23</v>
      </c>
      <c r="D46" s="16" t="s">
        <v>93</v>
      </c>
      <c r="E46" s="21" t="s">
        <v>94</v>
      </c>
      <c r="F46" s="17">
        <v>28.8</v>
      </c>
      <c r="G46" s="17">
        <v>31.9</v>
      </c>
      <c r="H46" s="15" t="s">
        <v>41</v>
      </c>
      <c r="I46" s="32">
        <v>113</v>
      </c>
      <c r="J46" s="4">
        <f>VLOOKUP(D46,'[1]3111-001'!$B:$H,7,0)</f>
        <v>0.1212</v>
      </c>
    </row>
    <row r="47" spans="1:10">
      <c r="A47" s="10">
        <v>23</v>
      </c>
      <c r="B47" s="14" t="s">
        <v>95</v>
      </c>
      <c r="C47" s="15">
        <v>24</v>
      </c>
      <c r="D47" s="16" t="s">
        <v>276</v>
      </c>
      <c r="E47" s="21" t="s">
        <v>37</v>
      </c>
      <c r="F47" s="17">
        <v>12.7</v>
      </c>
      <c r="G47" s="17">
        <v>14</v>
      </c>
      <c r="H47" s="15" t="s">
        <v>38</v>
      </c>
      <c r="I47" s="32">
        <v>257</v>
      </c>
      <c r="J47" s="4">
        <f>VLOOKUP(D47,'[1]3111-001'!$B:$H,7,0)</f>
        <v>4.6199999999999998E-2</v>
      </c>
    </row>
    <row r="48" spans="1:10">
      <c r="A48" s="10">
        <v>24</v>
      </c>
      <c r="B48" s="14" t="s">
        <v>97</v>
      </c>
      <c r="C48" s="15">
        <v>25</v>
      </c>
      <c r="D48" s="16" t="s">
        <v>277</v>
      </c>
      <c r="E48" s="21" t="s">
        <v>79</v>
      </c>
      <c r="F48" s="17">
        <v>15.9</v>
      </c>
      <c r="G48" s="17">
        <v>17.899999999999999</v>
      </c>
      <c r="H48" s="15" t="s">
        <v>99</v>
      </c>
      <c r="I48" s="32">
        <v>201</v>
      </c>
      <c r="J48" s="4">
        <f>VLOOKUP(D48,'[1]3111-001'!$B:$H,7,0)</f>
        <v>6.6199999999999995E-2</v>
      </c>
    </row>
    <row r="49" spans="1:10" ht="23.25">
      <c r="A49" s="10">
        <v>25</v>
      </c>
      <c r="B49" s="14" t="s">
        <v>100</v>
      </c>
      <c r="C49" s="15">
        <v>26</v>
      </c>
      <c r="D49" s="16" t="s">
        <v>101</v>
      </c>
      <c r="E49" s="16" t="s">
        <v>69</v>
      </c>
      <c r="F49" s="17">
        <v>20.100000000000001</v>
      </c>
      <c r="G49" s="17">
        <v>22.6</v>
      </c>
      <c r="H49" s="15" t="s">
        <v>83</v>
      </c>
      <c r="I49" s="32">
        <v>159</v>
      </c>
      <c r="J49" s="4">
        <f>VLOOKUP(D49,'[1]3111-001'!$B:$H,7,0)</f>
        <v>9.2700000000000005E-2</v>
      </c>
    </row>
    <row r="50" spans="1:10">
      <c r="A50" s="10"/>
      <c r="B50" s="11" t="s">
        <v>102</v>
      </c>
      <c r="C50" s="12"/>
      <c r="D50" s="13" t="s">
        <v>102</v>
      </c>
      <c r="E50" s="13"/>
      <c r="F50" s="13"/>
      <c r="G50" s="13"/>
      <c r="H50" s="13"/>
      <c r="I50" s="13"/>
      <c r="J50" s="4">
        <f>VLOOKUP(D50,'[1]3111-001'!$B:$H,7,0)</f>
        <v>0</v>
      </c>
    </row>
    <row r="51" spans="1:10" s="2" customFormat="1" ht="26.25">
      <c r="A51" s="22">
        <v>81</v>
      </c>
      <c r="B51" s="23" t="s">
        <v>103</v>
      </c>
      <c r="C51" s="24">
        <v>91</v>
      </c>
      <c r="D51" s="25" t="s">
        <v>104</v>
      </c>
      <c r="E51" s="25" t="s">
        <v>79</v>
      </c>
      <c r="F51" s="26">
        <v>39.299999999999997</v>
      </c>
      <c r="G51" s="26">
        <v>44.2</v>
      </c>
      <c r="H51" s="24" t="s">
        <v>70</v>
      </c>
      <c r="I51" s="33">
        <v>81</v>
      </c>
      <c r="J51" s="4">
        <f>VLOOKUP(D51,'[1]3111-001'!$B:$H,7,0)</f>
        <v>0.1547</v>
      </c>
    </row>
    <row r="52" spans="1:10" ht="52.5">
      <c r="A52" s="10">
        <v>26</v>
      </c>
      <c r="B52" s="14" t="s">
        <v>105</v>
      </c>
      <c r="C52" s="27">
        <v>27</v>
      </c>
      <c r="D52" s="28" t="s">
        <v>106</v>
      </c>
      <c r="E52" s="28" t="s">
        <v>107</v>
      </c>
      <c r="F52" s="29">
        <v>18.2</v>
      </c>
      <c r="G52" s="29">
        <v>20.100000000000001</v>
      </c>
      <c r="H52" s="27" t="s">
        <v>41</v>
      </c>
      <c r="I52" s="34">
        <v>179</v>
      </c>
      <c r="J52" s="4">
        <f>VLOOKUP(D52,'[1]3111-001'!$B:$H,7,0)</f>
        <v>7.6399999999999996E-2</v>
      </c>
    </row>
    <row r="53" spans="1:10" ht="13.15">
      <c r="A53" s="10">
        <v>28</v>
      </c>
      <c r="B53" s="14" t="s">
        <v>108</v>
      </c>
      <c r="C53" s="27">
        <v>28</v>
      </c>
      <c r="D53" s="28" t="s">
        <v>109</v>
      </c>
      <c r="E53" s="28" t="s">
        <v>110</v>
      </c>
      <c r="F53" s="29">
        <v>9.1999999999999993</v>
      </c>
      <c r="G53" s="29">
        <v>10.199999999999999</v>
      </c>
      <c r="H53" s="27" t="s">
        <v>73</v>
      </c>
      <c r="I53" s="34">
        <v>353</v>
      </c>
      <c r="J53" s="4">
        <f>VLOOKUP(D53,'[1]3111-001'!$B:$H,7,0)</f>
        <v>3.6700000000000003E-2</v>
      </c>
    </row>
    <row r="54" spans="1:10" ht="13.15">
      <c r="A54" s="10">
        <v>29</v>
      </c>
      <c r="B54" s="30" t="s">
        <v>111</v>
      </c>
      <c r="C54" s="27">
        <v>29</v>
      </c>
      <c r="D54" s="28" t="s">
        <v>112</v>
      </c>
      <c r="E54" s="28" t="s">
        <v>37</v>
      </c>
      <c r="F54" s="29">
        <v>18.899999999999999</v>
      </c>
      <c r="G54" s="29">
        <v>20.9</v>
      </c>
      <c r="H54" s="27" t="s">
        <v>34</v>
      </c>
      <c r="I54" s="34">
        <v>172</v>
      </c>
      <c r="J54" s="4">
        <f>VLOOKUP(D54,'[1]3111-001'!$B:$H,7,0)</f>
        <v>6.6900000000000001E-2</v>
      </c>
    </row>
    <row r="55" spans="1:10" ht="26.25">
      <c r="A55" s="22">
        <v>30</v>
      </c>
      <c r="B55" s="31" t="s">
        <v>113</v>
      </c>
      <c r="C55" s="24">
        <v>30</v>
      </c>
      <c r="D55" s="25" t="s">
        <v>114</v>
      </c>
      <c r="E55" s="25" t="s">
        <v>79</v>
      </c>
      <c r="F55" s="26">
        <v>22.6</v>
      </c>
      <c r="G55" s="26">
        <v>25.4</v>
      </c>
      <c r="H55" s="24" t="s">
        <v>99</v>
      </c>
      <c r="I55" s="33">
        <v>142</v>
      </c>
      <c r="J55" s="4">
        <f>VLOOKUP(D55,'[1]3111-001'!$B:$H,7,0)</f>
        <v>9.4E-2</v>
      </c>
    </row>
    <row r="56" spans="1:10" ht="26.25">
      <c r="A56" s="10">
        <v>36</v>
      </c>
      <c r="B56" s="14" t="s">
        <v>115</v>
      </c>
      <c r="C56" s="27">
        <v>31</v>
      </c>
      <c r="D56" s="28" t="s">
        <v>116</v>
      </c>
      <c r="E56" s="28" t="s">
        <v>91</v>
      </c>
      <c r="F56" s="29">
        <v>23.5</v>
      </c>
      <c r="G56" s="29">
        <v>26.6</v>
      </c>
      <c r="H56" s="27" t="s">
        <v>88</v>
      </c>
      <c r="I56" s="34">
        <v>135</v>
      </c>
      <c r="J56" s="4">
        <f>VLOOKUP(D56,'[1]3111-001'!$B:$H,7,0)</f>
        <v>0.11169999999999999</v>
      </c>
    </row>
    <row r="57" spans="1:10" ht="13.15">
      <c r="A57" s="10">
        <v>37</v>
      </c>
      <c r="B57" s="14" t="s">
        <v>117</v>
      </c>
      <c r="C57" s="27">
        <v>32</v>
      </c>
      <c r="D57" s="28" t="s">
        <v>118</v>
      </c>
      <c r="E57" s="28" t="s">
        <v>69</v>
      </c>
      <c r="F57" s="29">
        <v>17.899999999999999</v>
      </c>
      <c r="G57" s="29">
        <v>21.8</v>
      </c>
      <c r="H57" s="27" t="s">
        <v>119</v>
      </c>
      <c r="I57" s="34">
        <v>165</v>
      </c>
      <c r="J57" s="4">
        <f>VLOOKUP(D57,'[1]3111-001'!$B:$H,7,0)</f>
        <v>8.5000000000000006E-2</v>
      </c>
    </row>
    <row r="58" spans="1:10" ht="26.25">
      <c r="A58" s="10">
        <v>38</v>
      </c>
      <c r="B58" s="14" t="s">
        <v>120</v>
      </c>
      <c r="C58" s="27">
        <v>33</v>
      </c>
      <c r="D58" s="28" t="s">
        <v>121</v>
      </c>
      <c r="E58" s="28" t="s">
        <v>91</v>
      </c>
      <c r="F58" s="29">
        <v>10.199999999999999</v>
      </c>
      <c r="G58" s="29">
        <v>13.3</v>
      </c>
      <c r="H58" s="27" t="s">
        <v>119</v>
      </c>
      <c r="I58" s="34">
        <v>271</v>
      </c>
      <c r="J58" s="4">
        <f>VLOOKUP(D58,'[1]3111-001'!$B:$H,7,0)</f>
        <v>5.1900000000000002E-2</v>
      </c>
    </row>
    <row r="59" spans="1:10" ht="26.25">
      <c r="A59" s="10">
        <v>39</v>
      </c>
      <c r="B59" s="14" t="s">
        <v>122</v>
      </c>
      <c r="C59" s="27">
        <v>34</v>
      </c>
      <c r="D59" s="28" t="s">
        <v>123</v>
      </c>
      <c r="E59" s="28" t="s">
        <v>69</v>
      </c>
      <c r="F59" s="29">
        <v>40.799999999999997</v>
      </c>
      <c r="G59" s="29">
        <v>46.2</v>
      </c>
      <c r="H59" s="27" t="s">
        <v>88</v>
      </c>
      <c r="I59" s="34">
        <v>78</v>
      </c>
      <c r="J59" s="4">
        <f>VLOOKUP(D59,'[1]3111-001'!$B:$H,7,0)</f>
        <v>0.19400000000000001</v>
      </c>
    </row>
    <row r="60" spans="1:10" ht="26.25">
      <c r="A60" s="10">
        <v>40</v>
      </c>
      <c r="B60" s="14" t="s">
        <v>124</v>
      </c>
      <c r="C60" s="27">
        <v>35</v>
      </c>
      <c r="D60" s="28" t="s">
        <v>125</v>
      </c>
      <c r="E60" s="28" t="s">
        <v>91</v>
      </c>
      <c r="F60" s="29">
        <v>37.200000000000003</v>
      </c>
      <c r="G60" s="29">
        <v>43</v>
      </c>
      <c r="H60" s="27" t="s">
        <v>88</v>
      </c>
      <c r="I60" s="34">
        <v>84</v>
      </c>
      <c r="J60" s="4">
        <f>VLOOKUP(D60,'[1]3111-001'!$B:$H,7,0)</f>
        <v>0.18060000000000001</v>
      </c>
    </row>
    <row r="61" spans="1:10" ht="26.25">
      <c r="A61" s="10">
        <v>41</v>
      </c>
      <c r="B61" s="14" t="s">
        <v>126</v>
      </c>
      <c r="C61" s="27">
        <v>36</v>
      </c>
      <c r="D61" s="28" t="s">
        <v>127</v>
      </c>
      <c r="E61" s="28" t="s">
        <v>69</v>
      </c>
      <c r="F61" s="29">
        <v>20.7</v>
      </c>
      <c r="G61" s="29">
        <v>23.2</v>
      </c>
      <c r="H61" s="27" t="s">
        <v>88</v>
      </c>
      <c r="I61" s="34">
        <v>155</v>
      </c>
      <c r="J61" s="4">
        <f>VLOOKUP(D61,'[1]3111-001'!$B:$H,7,0)</f>
        <v>9.74E-2</v>
      </c>
    </row>
    <row r="62" spans="1:10" ht="26.25">
      <c r="A62" s="10">
        <v>42</v>
      </c>
      <c r="B62" s="14" t="s">
        <v>128</v>
      </c>
      <c r="C62" s="27">
        <v>37</v>
      </c>
      <c r="D62" s="28" t="s">
        <v>129</v>
      </c>
      <c r="E62" s="28" t="s">
        <v>69</v>
      </c>
      <c r="F62" s="29">
        <v>9.1999999999999993</v>
      </c>
      <c r="G62" s="29">
        <v>10.199999999999999</v>
      </c>
      <c r="H62" s="27" t="s">
        <v>41</v>
      </c>
      <c r="I62" s="34">
        <v>353</v>
      </c>
      <c r="J62" s="4">
        <f>VLOOKUP(D62,'[1]3111-001'!$B:$H,7,0)</f>
        <v>3.8800000000000001E-2</v>
      </c>
    </row>
    <row r="63" spans="1:10" ht="13.15">
      <c r="A63" s="10">
        <v>43</v>
      </c>
      <c r="B63" s="14" t="s">
        <v>130</v>
      </c>
      <c r="C63" s="27">
        <v>38</v>
      </c>
      <c r="D63" s="28" t="s">
        <v>131</v>
      </c>
      <c r="E63" s="28" t="s">
        <v>69</v>
      </c>
      <c r="F63" s="29">
        <v>34.1</v>
      </c>
      <c r="G63" s="29">
        <v>38.6</v>
      </c>
      <c r="H63" s="27" t="s">
        <v>88</v>
      </c>
      <c r="I63" s="34">
        <v>93</v>
      </c>
      <c r="J63" s="4">
        <f>VLOOKUP(D63,'[1]3111-001'!$B:$H,7,0)</f>
        <v>0.16209999999999999</v>
      </c>
    </row>
    <row r="64" spans="1:10" ht="13.15">
      <c r="A64" s="10">
        <v>44</v>
      </c>
      <c r="B64" s="14" t="s">
        <v>132</v>
      </c>
      <c r="C64" s="27">
        <v>39</v>
      </c>
      <c r="D64" s="28" t="s">
        <v>133</v>
      </c>
      <c r="E64" s="28" t="s">
        <v>69</v>
      </c>
      <c r="F64" s="29">
        <v>13.6</v>
      </c>
      <c r="G64" s="29">
        <v>15.1</v>
      </c>
      <c r="H64" s="27" t="s">
        <v>119</v>
      </c>
      <c r="I64" s="34">
        <v>238</v>
      </c>
      <c r="J64" s="4">
        <f>VLOOKUP(D64,'[1]3111-001'!$B:$H,7,0)</f>
        <v>5.8900000000000001E-2</v>
      </c>
    </row>
    <row r="65" spans="1:10" ht="26.25">
      <c r="A65" s="10">
        <v>45</v>
      </c>
      <c r="B65" s="14" t="s">
        <v>134</v>
      </c>
      <c r="C65" s="27">
        <v>40</v>
      </c>
      <c r="D65" s="28" t="s">
        <v>135</v>
      </c>
      <c r="E65" s="28" t="s">
        <v>69</v>
      </c>
      <c r="F65" s="29">
        <v>44.2</v>
      </c>
      <c r="G65" s="29">
        <v>49.6</v>
      </c>
      <c r="H65" s="27" t="s">
        <v>136</v>
      </c>
      <c r="I65" s="34">
        <v>73</v>
      </c>
      <c r="J65" s="4">
        <f>VLOOKUP(D65,'[1]3111-001'!$B:$H,7,0)</f>
        <v>0.21820000000000001</v>
      </c>
    </row>
    <row r="66" spans="1:10" ht="26.25">
      <c r="A66" s="10">
        <v>46</v>
      </c>
      <c r="B66" s="14" t="s">
        <v>137</v>
      </c>
      <c r="C66" s="27">
        <v>41</v>
      </c>
      <c r="D66" s="28" t="s">
        <v>138</v>
      </c>
      <c r="E66" s="28" t="s">
        <v>69</v>
      </c>
      <c r="F66" s="29">
        <v>84.3</v>
      </c>
      <c r="G66" s="29">
        <v>95.1</v>
      </c>
      <c r="H66" s="27" t="s">
        <v>139</v>
      </c>
      <c r="I66" s="34">
        <v>38</v>
      </c>
      <c r="J66" s="4">
        <f>VLOOKUP(D66,'[1]3111-001'!$B:$H,7,0)</f>
        <v>0.4375</v>
      </c>
    </row>
    <row r="67" spans="1:10" ht="13.15">
      <c r="A67" s="10">
        <v>47</v>
      </c>
      <c r="B67" s="14" t="s">
        <v>140</v>
      </c>
      <c r="C67" s="27">
        <v>42</v>
      </c>
      <c r="D67" s="28" t="s">
        <v>141</v>
      </c>
      <c r="E67" s="28" t="s">
        <v>69</v>
      </c>
      <c r="F67" s="29">
        <v>50.8</v>
      </c>
      <c r="G67" s="29">
        <v>57.8</v>
      </c>
      <c r="H67" s="27" t="s">
        <v>88</v>
      </c>
      <c r="I67" s="34">
        <v>62</v>
      </c>
      <c r="J67" s="4">
        <f>VLOOKUP(D67,'[1]3111-001'!$B:$H,7,0)</f>
        <v>0.24279999999999999</v>
      </c>
    </row>
    <row r="68" spans="1:10" ht="13.15">
      <c r="A68" s="10">
        <v>48</v>
      </c>
      <c r="B68" s="14" t="s">
        <v>142</v>
      </c>
      <c r="C68" s="27">
        <v>43</v>
      </c>
      <c r="D68" s="28" t="s">
        <v>143</v>
      </c>
      <c r="E68" s="28" t="s">
        <v>37</v>
      </c>
      <c r="F68" s="29">
        <v>5.5</v>
      </c>
      <c r="G68" s="29">
        <v>6</v>
      </c>
      <c r="H68" s="27" t="s">
        <v>76</v>
      </c>
      <c r="I68" s="34">
        <v>600</v>
      </c>
      <c r="J68" s="4">
        <f>VLOOKUP(D68,'[1]3111-001'!$B:$H,7,0)</f>
        <v>1.8599999999999998E-2</v>
      </c>
    </row>
    <row r="69" spans="1:10">
      <c r="A69" s="10"/>
      <c r="B69" s="11" t="s">
        <v>146</v>
      </c>
      <c r="C69" s="12"/>
      <c r="D69" s="13" t="s">
        <v>146</v>
      </c>
      <c r="E69" s="13"/>
      <c r="F69" s="13"/>
      <c r="G69" s="13"/>
      <c r="H69" s="13"/>
      <c r="I69" s="13"/>
      <c r="J69" s="4">
        <f>VLOOKUP(D69,'[1]3111-001'!$B:$H,7,0)</f>
        <v>0</v>
      </c>
    </row>
    <row r="70" spans="1:10" ht="39.4">
      <c r="A70" s="10">
        <v>49</v>
      </c>
      <c r="B70" s="14" t="s">
        <v>147</v>
      </c>
      <c r="C70" s="27">
        <v>44</v>
      </c>
      <c r="D70" s="28" t="s">
        <v>148</v>
      </c>
      <c r="E70" s="28" t="s">
        <v>107</v>
      </c>
      <c r="F70" s="29">
        <v>61.7</v>
      </c>
      <c r="G70" s="29">
        <v>68.2</v>
      </c>
      <c r="H70" s="27" t="s">
        <v>119</v>
      </c>
      <c r="I70" s="34">
        <v>53</v>
      </c>
      <c r="J70" s="4">
        <f>VLOOKUP(D70,'[1]3111-001'!$B:$H,7,0)</f>
        <v>0.26600000000000001</v>
      </c>
    </row>
    <row r="71" spans="1:10" ht="13.15">
      <c r="A71" s="10">
        <v>50</v>
      </c>
      <c r="B71" s="14" t="s">
        <v>149</v>
      </c>
      <c r="C71" s="27">
        <v>45</v>
      </c>
      <c r="D71" s="28" t="s">
        <v>150</v>
      </c>
      <c r="E71" s="28" t="s">
        <v>69</v>
      </c>
      <c r="F71" s="29">
        <v>27.4</v>
      </c>
      <c r="G71" s="29">
        <v>30.8</v>
      </c>
      <c r="H71" s="27" t="s">
        <v>119</v>
      </c>
      <c r="I71" s="34">
        <v>117</v>
      </c>
      <c r="J71" s="4">
        <f>VLOOKUP(D71,'[1]3111-001'!$B:$H,7,0)</f>
        <v>0.1201</v>
      </c>
    </row>
    <row r="72" spans="1:10" ht="26.25">
      <c r="A72" s="10">
        <v>51</v>
      </c>
      <c r="B72" s="14" t="s">
        <v>151</v>
      </c>
      <c r="C72" s="27">
        <v>46</v>
      </c>
      <c r="D72" s="28" t="s">
        <v>152</v>
      </c>
      <c r="E72" s="28" t="s">
        <v>69</v>
      </c>
      <c r="F72" s="29">
        <v>30.8</v>
      </c>
      <c r="G72" s="29">
        <v>34.299999999999997</v>
      </c>
      <c r="H72" s="27" t="s">
        <v>136</v>
      </c>
      <c r="I72" s="34">
        <v>105</v>
      </c>
      <c r="J72" s="4">
        <f>VLOOKUP(D72,'[1]3111-001'!$B:$H,7,0)</f>
        <v>0.15090000000000001</v>
      </c>
    </row>
    <row r="73" spans="1:10" ht="26.25">
      <c r="A73" s="10">
        <v>52</v>
      </c>
      <c r="B73" s="14" t="s">
        <v>153</v>
      </c>
      <c r="C73" s="27">
        <v>47</v>
      </c>
      <c r="D73" s="28" t="s">
        <v>154</v>
      </c>
      <c r="E73" s="28" t="s">
        <v>69</v>
      </c>
      <c r="F73" s="29">
        <v>18.600000000000001</v>
      </c>
      <c r="G73" s="29">
        <v>21</v>
      </c>
      <c r="H73" s="27" t="s">
        <v>88</v>
      </c>
      <c r="I73" s="34">
        <v>171</v>
      </c>
      <c r="J73" s="4">
        <f>VLOOKUP(D73,'[1]3111-001'!$B:$H,7,0)</f>
        <v>8.8200000000000001E-2</v>
      </c>
    </row>
    <row r="74" spans="1:10" ht="13.15">
      <c r="A74" s="10">
        <v>53</v>
      </c>
      <c r="B74" s="14" t="s">
        <v>155</v>
      </c>
      <c r="C74" s="27">
        <v>48</v>
      </c>
      <c r="D74" s="28" t="s">
        <v>156</v>
      </c>
      <c r="E74" s="28" t="s">
        <v>69</v>
      </c>
      <c r="F74" s="29">
        <v>31.6</v>
      </c>
      <c r="G74" s="29">
        <v>35.700000000000003</v>
      </c>
      <c r="H74" s="27" t="s">
        <v>157</v>
      </c>
      <c r="I74" s="34">
        <v>101</v>
      </c>
      <c r="J74" s="4">
        <f>VLOOKUP(D74,'[1]3111-001'!$B:$H,7,0)</f>
        <v>0.1535</v>
      </c>
    </row>
    <row r="75" spans="1:10" ht="13.15">
      <c r="A75" s="10">
        <v>54</v>
      </c>
      <c r="B75" s="14" t="s">
        <v>158</v>
      </c>
      <c r="C75" s="27">
        <v>49</v>
      </c>
      <c r="D75" s="28" t="s">
        <v>159</v>
      </c>
      <c r="E75" s="28" t="s">
        <v>69</v>
      </c>
      <c r="F75" s="29">
        <v>35</v>
      </c>
      <c r="G75" s="29">
        <v>39.9</v>
      </c>
      <c r="H75" s="27" t="s">
        <v>119</v>
      </c>
      <c r="I75" s="34">
        <v>90</v>
      </c>
      <c r="J75" s="4">
        <f>VLOOKUP(D75,'[1]3111-001'!$B:$H,7,0)</f>
        <v>0.15559999999999999</v>
      </c>
    </row>
    <row r="76" spans="1:10" ht="13.15">
      <c r="A76" s="10">
        <v>55</v>
      </c>
      <c r="B76" s="14" t="s">
        <v>160</v>
      </c>
      <c r="C76" s="27">
        <v>50</v>
      </c>
      <c r="D76" s="28" t="s">
        <v>161</v>
      </c>
      <c r="E76" s="28" t="s">
        <v>110</v>
      </c>
      <c r="F76" s="29">
        <v>22.7</v>
      </c>
      <c r="G76" s="29">
        <v>25.4</v>
      </c>
      <c r="H76" s="27" t="s">
        <v>73</v>
      </c>
      <c r="I76" s="34">
        <v>142</v>
      </c>
      <c r="J76" s="4">
        <f>VLOOKUP(D76,'[1]3111-001'!$B:$H,7,0)</f>
        <v>9.1399999999999995E-2</v>
      </c>
    </row>
    <row r="77" spans="1:10" ht="26.25">
      <c r="A77" s="10">
        <v>56</v>
      </c>
      <c r="B77" s="14" t="s">
        <v>162</v>
      </c>
      <c r="C77" s="27">
        <v>51</v>
      </c>
      <c r="D77" s="28" t="s">
        <v>163</v>
      </c>
      <c r="E77" s="28" t="s">
        <v>69</v>
      </c>
      <c r="F77" s="29">
        <v>50.4</v>
      </c>
      <c r="G77" s="29">
        <v>57.2</v>
      </c>
      <c r="H77" s="27" t="s">
        <v>41</v>
      </c>
      <c r="I77" s="34">
        <v>63</v>
      </c>
      <c r="J77" s="4">
        <f>VLOOKUP(D77,'[1]3111-001'!$B:$H,7,0)</f>
        <v>0.21740000000000001</v>
      </c>
    </row>
    <row r="78" spans="1:10" ht="26.25">
      <c r="A78" s="10">
        <v>57</v>
      </c>
      <c r="B78" s="14" t="s">
        <v>164</v>
      </c>
      <c r="C78" s="27">
        <v>52</v>
      </c>
      <c r="D78" s="28" t="s">
        <v>165</v>
      </c>
      <c r="E78" s="28" t="s">
        <v>37</v>
      </c>
      <c r="F78" s="29">
        <v>39.4</v>
      </c>
      <c r="G78" s="29">
        <v>43.6</v>
      </c>
      <c r="H78" s="27" t="s">
        <v>34</v>
      </c>
      <c r="I78" s="34">
        <v>83</v>
      </c>
      <c r="J78" s="4">
        <f>VLOOKUP(D78,'[1]3111-001'!$B:$H,7,0)</f>
        <v>0.13950000000000001</v>
      </c>
    </row>
    <row r="79" spans="1:10" ht="13.15">
      <c r="A79" s="10">
        <v>58</v>
      </c>
      <c r="B79" s="14" t="s">
        <v>166</v>
      </c>
      <c r="C79" s="27">
        <v>53</v>
      </c>
      <c r="D79" s="28" t="s">
        <v>167</v>
      </c>
      <c r="E79" s="28" t="s">
        <v>69</v>
      </c>
      <c r="F79" s="29">
        <v>26.4</v>
      </c>
      <c r="G79" s="29">
        <v>31.1</v>
      </c>
      <c r="H79" s="27" t="s">
        <v>168</v>
      </c>
      <c r="I79" s="34">
        <v>116</v>
      </c>
      <c r="J79" s="4">
        <f>VLOOKUP(D79,'[1]3111-001'!$B:$H,7,0)</f>
        <v>0.1244</v>
      </c>
    </row>
    <row r="80" spans="1:10" ht="26.25">
      <c r="A80" s="10">
        <v>59</v>
      </c>
      <c r="B80" s="14" t="s">
        <v>169</v>
      </c>
      <c r="C80" s="27">
        <v>54</v>
      </c>
      <c r="D80" s="28" t="s">
        <v>170</v>
      </c>
      <c r="E80" s="28" t="s">
        <v>91</v>
      </c>
      <c r="F80" s="29">
        <v>27.3</v>
      </c>
      <c r="G80" s="29">
        <v>32.799999999999997</v>
      </c>
      <c r="H80" s="27" t="s">
        <v>83</v>
      </c>
      <c r="I80" s="34">
        <v>110</v>
      </c>
      <c r="J80" s="4">
        <f>VLOOKUP(D80,'[1]3111-001'!$B:$H,7,0)</f>
        <v>0.13450000000000001</v>
      </c>
    </row>
    <row r="81" spans="1:10" ht="13.15">
      <c r="A81" s="10"/>
      <c r="B81" s="14" t="s">
        <v>171</v>
      </c>
      <c r="C81" s="27">
        <v>55</v>
      </c>
      <c r="D81" s="28" t="s">
        <v>171</v>
      </c>
      <c r="E81" s="28"/>
      <c r="F81" s="29"/>
      <c r="G81" s="29"/>
      <c r="H81" s="27"/>
      <c r="I81" s="34"/>
      <c r="J81" s="4">
        <f>VLOOKUP(D81,'[1]3111-001'!$B:$H,7,0)</f>
        <v>0</v>
      </c>
    </row>
    <row r="82" spans="1:10" ht="26.25">
      <c r="A82" s="10">
        <v>60</v>
      </c>
      <c r="B82" s="14" t="s">
        <v>172</v>
      </c>
      <c r="C82" s="27">
        <v>56</v>
      </c>
      <c r="D82" s="28" t="s">
        <v>173</v>
      </c>
      <c r="E82" s="28" t="s">
        <v>69</v>
      </c>
      <c r="F82" s="29">
        <v>25.2</v>
      </c>
      <c r="G82" s="29">
        <v>30.2</v>
      </c>
      <c r="H82" s="27" t="s">
        <v>119</v>
      </c>
      <c r="I82" s="34">
        <v>119</v>
      </c>
      <c r="J82" s="4">
        <f>VLOOKUP(D82,'[1]3111-001'!$B:$H,7,0)</f>
        <v>0.1179</v>
      </c>
    </row>
    <row r="83" spans="1:10" s="3" customFormat="1" ht="13.15">
      <c r="A83" s="18">
        <v>89</v>
      </c>
      <c r="B83" s="19" t="s">
        <v>174</v>
      </c>
      <c r="C83" s="36">
        <v>89</v>
      </c>
      <c r="D83" s="37" t="s">
        <v>175</v>
      </c>
      <c r="E83" s="37" t="s">
        <v>69</v>
      </c>
      <c r="F83" s="38">
        <v>21.2</v>
      </c>
      <c r="G83" s="38">
        <v>23.7</v>
      </c>
      <c r="H83" s="36" t="s">
        <v>168</v>
      </c>
      <c r="I83" s="42">
        <v>152</v>
      </c>
      <c r="J83" s="4">
        <f>VLOOKUP(D83,'[1]3111-001'!$B:$H,7,0)</f>
        <v>9.4799999999999995E-2</v>
      </c>
    </row>
    <row r="84" spans="1:10" ht="26.25">
      <c r="A84" s="22">
        <v>88</v>
      </c>
      <c r="B84" s="31" t="s">
        <v>176</v>
      </c>
      <c r="C84" s="27">
        <v>88</v>
      </c>
      <c r="D84" s="28" t="s">
        <v>177</v>
      </c>
      <c r="E84" s="28" t="s">
        <v>69</v>
      </c>
      <c r="F84" s="29">
        <v>20.399999999999999</v>
      </c>
      <c r="G84" s="29">
        <v>24.2</v>
      </c>
      <c r="H84" s="27" t="s">
        <v>88</v>
      </c>
      <c r="I84" s="34">
        <v>149</v>
      </c>
      <c r="J84" s="4">
        <f>VLOOKUP(D84,'[1]3111-001'!$B:$H,7,0)</f>
        <v>0.1016</v>
      </c>
    </row>
    <row r="85" spans="1:10" ht="26.25">
      <c r="A85" s="10">
        <v>61</v>
      </c>
      <c r="B85" s="14" t="s">
        <v>178</v>
      </c>
      <c r="C85" s="27">
        <v>57</v>
      </c>
      <c r="D85" s="28" t="s">
        <v>179</v>
      </c>
      <c r="E85" s="28" t="s">
        <v>94</v>
      </c>
      <c r="F85" s="29">
        <v>32.6</v>
      </c>
      <c r="G85" s="29">
        <v>36.1</v>
      </c>
      <c r="H85" s="27" t="s">
        <v>119</v>
      </c>
      <c r="I85" s="34">
        <v>100</v>
      </c>
      <c r="J85" s="4">
        <f>VLOOKUP(D85,'[1]3111-001'!$B:$H,7,0)</f>
        <v>0.14080000000000001</v>
      </c>
    </row>
    <row r="86" spans="1:10" ht="26.25">
      <c r="A86" s="10">
        <v>62</v>
      </c>
      <c r="B86" s="14" t="s">
        <v>180</v>
      </c>
      <c r="C86" s="27">
        <v>58</v>
      </c>
      <c r="D86" s="28" t="s">
        <v>278</v>
      </c>
      <c r="E86" s="28" t="s">
        <v>79</v>
      </c>
      <c r="F86" s="29">
        <v>30.7</v>
      </c>
      <c r="G86" s="29">
        <v>34.5</v>
      </c>
      <c r="H86" s="27" t="s">
        <v>73</v>
      </c>
      <c r="I86" s="34">
        <v>104</v>
      </c>
      <c r="J86" s="4">
        <f>VLOOKUP(D86,'[1]3111-001'!$B:$H,7,0)</f>
        <v>0.1242</v>
      </c>
    </row>
    <row r="87" spans="1:10" ht="26.25">
      <c r="A87" s="10">
        <v>63</v>
      </c>
      <c r="B87" s="14" t="s">
        <v>182</v>
      </c>
      <c r="C87" s="27">
        <v>59</v>
      </c>
      <c r="D87" s="28" t="s">
        <v>279</v>
      </c>
      <c r="E87" s="28" t="s">
        <v>91</v>
      </c>
      <c r="F87" s="29">
        <v>52.9</v>
      </c>
      <c r="G87" s="29">
        <v>61</v>
      </c>
      <c r="H87" s="27" t="s">
        <v>88</v>
      </c>
      <c r="I87" s="34">
        <v>59</v>
      </c>
      <c r="J87" s="4">
        <f>VLOOKUP(D87,'[1]3111-001'!$B:$H,7,0)</f>
        <v>0.25619999999999998</v>
      </c>
    </row>
    <row r="88" spans="1:10" ht="13.15">
      <c r="A88" s="10">
        <v>64</v>
      </c>
      <c r="B88" s="14" t="s">
        <v>184</v>
      </c>
      <c r="C88" s="27">
        <v>60</v>
      </c>
      <c r="D88" s="28" t="s">
        <v>185</v>
      </c>
      <c r="E88" s="28" t="s">
        <v>69</v>
      </c>
      <c r="F88" s="29">
        <v>20.7</v>
      </c>
      <c r="G88" s="29">
        <v>23.4</v>
      </c>
      <c r="H88" s="27" t="s">
        <v>41</v>
      </c>
      <c r="I88" s="34">
        <v>154</v>
      </c>
      <c r="J88" s="4">
        <f>VLOOKUP(D88,'[1]3111-001'!$B:$H,7,0)</f>
        <v>8.8900000000000007E-2</v>
      </c>
    </row>
    <row r="89" spans="1:10" ht="13.15">
      <c r="A89" s="10">
        <v>65</v>
      </c>
      <c r="B89" s="14" t="s">
        <v>186</v>
      </c>
      <c r="C89" s="27">
        <v>61</v>
      </c>
      <c r="D89" s="28" t="s">
        <v>187</v>
      </c>
      <c r="E89" s="28" t="s">
        <v>69</v>
      </c>
      <c r="F89" s="29">
        <v>23</v>
      </c>
      <c r="G89" s="29">
        <v>25.4</v>
      </c>
      <c r="H89" s="27" t="s">
        <v>41</v>
      </c>
      <c r="I89" s="34">
        <v>142</v>
      </c>
      <c r="J89" s="4">
        <f>VLOOKUP(D89,'[1]3111-001'!$B:$H,7,0)</f>
        <v>9.6500000000000002E-2</v>
      </c>
    </row>
    <row r="90" spans="1:10">
      <c r="A90" s="10"/>
      <c r="B90" s="11" t="s">
        <v>188</v>
      </c>
      <c r="C90" s="12"/>
      <c r="D90" s="13" t="s">
        <v>188</v>
      </c>
      <c r="E90" s="13"/>
      <c r="F90" s="13"/>
      <c r="G90" s="13"/>
      <c r="H90" s="13"/>
      <c r="I90" s="13"/>
      <c r="J90" s="4">
        <f>VLOOKUP(D90,'[1]3111-001'!$B:$H,7,0)</f>
        <v>0</v>
      </c>
    </row>
    <row r="91" spans="1:10" ht="13.15">
      <c r="A91" s="10">
        <v>66</v>
      </c>
      <c r="B91" s="14" t="s">
        <v>189</v>
      </c>
      <c r="C91" s="27">
        <v>62</v>
      </c>
      <c r="D91" s="28" t="s">
        <v>190</v>
      </c>
      <c r="E91" s="28" t="s">
        <v>69</v>
      </c>
      <c r="F91" s="29">
        <v>16.8</v>
      </c>
      <c r="G91" s="29">
        <v>19</v>
      </c>
      <c r="H91" s="27" t="s">
        <v>168</v>
      </c>
      <c r="I91" s="34">
        <v>189</v>
      </c>
      <c r="J91" s="4">
        <f>VLOOKUP(D91,'[1]3111-001'!$B:$H,7,0)</f>
        <v>7.5999999999999998E-2</v>
      </c>
    </row>
    <row r="92" spans="1:10" ht="26.25">
      <c r="A92" s="10">
        <v>67</v>
      </c>
      <c r="B92" s="14" t="s">
        <v>191</v>
      </c>
      <c r="C92" s="27">
        <v>63</v>
      </c>
      <c r="D92" s="28" t="s">
        <v>192</v>
      </c>
      <c r="E92" s="28" t="s">
        <v>91</v>
      </c>
      <c r="F92" s="29">
        <v>14.4</v>
      </c>
      <c r="G92" s="29">
        <v>18.2</v>
      </c>
      <c r="H92" s="27" t="s">
        <v>168</v>
      </c>
      <c r="I92" s="34">
        <v>198</v>
      </c>
      <c r="J92" s="4">
        <f>VLOOKUP(D92,'[1]3111-001'!$B:$H,7,0)</f>
        <v>7.2800000000000004E-2</v>
      </c>
    </row>
    <row r="93" spans="1:10" ht="13.15">
      <c r="A93" s="10">
        <v>68</v>
      </c>
      <c r="B93" s="14" t="s">
        <v>193</v>
      </c>
      <c r="C93" s="27">
        <v>64</v>
      </c>
      <c r="D93" s="28" t="s">
        <v>194</v>
      </c>
      <c r="E93" s="28" t="s">
        <v>69</v>
      </c>
      <c r="F93" s="29">
        <v>19.5</v>
      </c>
      <c r="G93" s="29">
        <v>22</v>
      </c>
      <c r="H93" s="27" t="s">
        <v>83</v>
      </c>
      <c r="I93" s="34">
        <v>164</v>
      </c>
      <c r="J93" s="4">
        <f>VLOOKUP(D93,'[1]3111-001'!$B:$H,7,0)</f>
        <v>9.0200000000000002E-2</v>
      </c>
    </row>
    <row r="94" spans="1:10" ht="26.25">
      <c r="A94" s="10">
        <v>70</v>
      </c>
      <c r="B94" s="14" t="s">
        <v>195</v>
      </c>
      <c r="C94" s="27">
        <v>65</v>
      </c>
      <c r="D94" s="28" t="s">
        <v>196</v>
      </c>
      <c r="E94" s="28" t="s">
        <v>91</v>
      </c>
      <c r="F94" s="29">
        <v>17.5</v>
      </c>
      <c r="G94" s="29">
        <v>21.7</v>
      </c>
      <c r="H94" s="27" t="s">
        <v>83</v>
      </c>
      <c r="I94" s="34">
        <v>166</v>
      </c>
      <c r="J94" s="4">
        <f>VLOOKUP(D94,'[1]3111-001'!$B:$H,7,0)</f>
        <v>8.8999999999999996E-2</v>
      </c>
    </row>
    <row r="95" spans="1:10">
      <c r="A95" s="10"/>
      <c r="B95" s="11" t="s">
        <v>197</v>
      </c>
      <c r="C95" s="12"/>
      <c r="D95" s="13" t="s">
        <v>197</v>
      </c>
      <c r="E95" s="13"/>
      <c r="F95" s="13"/>
      <c r="G95" s="13"/>
      <c r="H95" s="13"/>
      <c r="I95" s="13"/>
      <c r="J95" s="4">
        <f>VLOOKUP(D95,'[1]3111-001'!$B:$H,7,0)</f>
        <v>0</v>
      </c>
    </row>
    <row r="96" spans="1:10" ht="13.15">
      <c r="A96" s="10">
        <v>27</v>
      </c>
      <c r="B96" s="14" t="s">
        <v>198</v>
      </c>
      <c r="C96" s="27">
        <v>66</v>
      </c>
      <c r="D96" s="28" t="s">
        <v>199</v>
      </c>
      <c r="E96" s="28" t="s">
        <v>37</v>
      </c>
      <c r="F96" s="29">
        <v>43.9</v>
      </c>
      <c r="G96" s="29">
        <v>48.5</v>
      </c>
      <c r="H96" s="27" t="s">
        <v>38</v>
      </c>
      <c r="I96" s="34">
        <v>74</v>
      </c>
      <c r="J96" s="4">
        <f>VLOOKUP(D96,'[1]3111-001'!$B:$H,7,0)</f>
        <v>0.16009999999999999</v>
      </c>
    </row>
    <row r="97" spans="1:10" ht="13.15">
      <c r="A97" s="10">
        <v>71</v>
      </c>
      <c r="B97" s="14" t="s">
        <v>200</v>
      </c>
      <c r="C97" s="27">
        <v>67</v>
      </c>
      <c r="D97" s="28" t="s">
        <v>280</v>
      </c>
      <c r="E97" s="28" t="s">
        <v>69</v>
      </c>
      <c r="F97" s="29">
        <v>48.3</v>
      </c>
      <c r="G97" s="29">
        <v>54.3</v>
      </c>
      <c r="H97" s="27" t="s">
        <v>88</v>
      </c>
      <c r="I97" s="34">
        <v>66</v>
      </c>
      <c r="J97" s="4">
        <f>VLOOKUP(D97,'[1]3111-001'!$B:$H,7,0)</f>
        <v>0.2281</v>
      </c>
    </row>
    <row r="98" spans="1:10" ht="26.25">
      <c r="A98" s="10">
        <v>69</v>
      </c>
      <c r="B98" s="14" t="s">
        <v>202</v>
      </c>
      <c r="C98" s="27">
        <v>68</v>
      </c>
      <c r="D98" s="28" t="s">
        <v>281</v>
      </c>
      <c r="E98" s="28" t="s">
        <v>69</v>
      </c>
      <c r="F98" s="29">
        <v>13.3</v>
      </c>
      <c r="G98" s="29">
        <v>16.399999999999999</v>
      </c>
      <c r="H98" s="27" t="s">
        <v>119</v>
      </c>
      <c r="I98" s="34">
        <v>220</v>
      </c>
      <c r="J98" s="4">
        <f>VLOOKUP(D98,'[1]3111-001'!$B:$H,7,0)</f>
        <v>6.4000000000000001E-2</v>
      </c>
    </row>
    <row r="99" spans="1:10" ht="26.25">
      <c r="A99" s="10">
        <v>72</v>
      </c>
      <c r="B99" s="14" t="s">
        <v>204</v>
      </c>
      <c r="C99" s="27">
        <v>69</v>
      </c>
      <c r="D99" s="28" t="s">
        <v>205</v>
      </c>
      <c r="E99" s="28" t="s">
        <v>91</v>
      </c>
      <c r="F99" s="29">
        <v>43.5</v>
      </c>
      <c r="G99" s="29">
        <v>50.2</v>
      </c>
      <c r="H99" s="27" t="s">
        <v>88</v>
      </c>
      <c r="I99" s="34">
        <v>72</v>
      </c>
      <c r="J99" s="4">
        <f>VLOOKUP(D99,'[1]3111-001'!$B:$H,7,0)</f>
        <v>0.21079999999999999</v>
      </c>
    </row>
    <row r="100" spans="1:10" ht="26.25">
      <c r="A100" s="10">
        <v>73</v>
      </c>
      <c r="B100" s="14" t="s">
        <v>206</v>
      </c>
      <c r="C100" s="27">
        <v>70</v>
      </c>
      <c r="D100" s="28" t="s">
        <v>207</v>
      </c>
      <c r="E100" s="28" t="s">
        <v>69</v>
      </c>
      <c r="F100" s="29">
        <v>16.8</v>
      </c>
      <c r="G100" s="29">
        <v>18.8</v>
      </c>
      <c r="H100" s="27" t="s">
        <v>119</v>
      </c>
      <c r="I100" s="34">
        <v>191</v>
      </c>
      <c r="J100" s="4">
        <f>VLOOKUP(D100,'[1]3111-001'!$B:$H,7,0)</f>
        <v>7.3300000000000004E-2</v>
      </c>
    </row>
    <row r="101" spans="1:10" ht="13.15">
      <c r="A101" s="10">
        <v>74</v>
      </c>
      <c r="B101" s="14" t="s">
        <v>208</v>
      </c>
      <c r="C101" s="27">
        <v>71</v>
      </c>
      <c r="D101" s="28" t="s">
        <v>209</v>
      </c>
      <c r="E101" s="28" t="s">
        <v>69</v>
      </c>
      <c r="F101" s="29">
        <v>36</v>
      </c>
      <c r="G101" s="29">
        <v>40.5</v>
      </c>
      <c r="H101" s="27" t="s">
        <v>136</v>
      </c>
      <c r="I101" s="34">
        <v>89</v>
      </c>
      <c r="J101" s="4">
        <f>VLOOKUP(D101,'[1]3111-001'!$B:$H,7,0)</f>
        <v>0.1782</v>
      </c>
    </row>
    <row r="102" spans="1:10" ht="13.15">
      <c r="A102" s="10">
        <v>75</v>
      </c>
      <c r="B102" s="14" t="s">
        <v>210</v>
      </c>
      <c r="C102" s="27">
        <v>72</v>
      </c>
      <c r="D102" s="28" t="s">
        <v>211</v>
      </c>
      <c r="E102" s="28" t="s">
        <v>69</v>
      </c>
      <c r="F102" s="29">
        <v>43.1</v>
      </c>
      <c r="G102" s="29">
        <v>50.6</v>
      </c>
      <c r="H102" s="27" t="s">
        <v>139</v>
      </c>
      <c r="I102" s="34">
        <v>71</v>
      </c>
      <c r="J102" s="4">
        <f>VLOOKUP(D102,'[1]3111-001'!$B:$H,7,0)</f>
        <v>0.23280000000000001</v>
      </c>
    </row>
    <row r="103" spans="1:10" ht="26.25">
      <c r="A103" s="10">
        <v>76</v>
      </c>
      <c r="B103" s="14" t="s">
        <v>212</v>
      </c>
      <c r="C103" s="27">
        <v>81</v>
      </c>
      <c r="D103" s="28" t="s">
        <v>282</v>
      </c>
      <c r="E103" s="28" t="s">
        <v>91</v>
      </c>
      <c r="F103" s="29">
        <v>31.9</v>
      </c>
      <c r="G103" s="29">
        <v>36.4</v>
      </c>
      <c r="H103" s="27" t="s">
        <v>88</v>
      </c>
      <c r="I103" s="34">
        <v>99</v>
      </c>
      <c r="J103" s="4">
        <f>VLOOKUP(D103,'[1]3111-001'!$B:$H,7,0)</f>
        <v>0.15290000000000001</v>
      </c>
    </row>
    <row r="104" spans="1:10" ht="13.15">
      <c r="A104" s="10">
        <v>77</v>
      </c>
      <c r="B104" s="14" t="s">
        <v>214</v>
      </c>
      <c r="C104" s="27">
        <v>73</v>
      </c>
      <c r="D104" s="28" t="s">
        <v>215</v>
      </c>
      <c r="E104" s="28" t="s">
        <v>69</v>
      </c>
      <c r="F104" s="29">
        <v>64.2</v>
      </c>
      <c r="G104" s="29">
        <v>72.5</v>
      </c>
      <c r="H104" s="27" t="s">
        <v>139</v>
      </c>
      <c r="I104" s="34">
        <v>50</v>
      </c>
      <c r="J104" s="4">
        <f>VLOOKUP(D104,'[1]3111-001'!$B:$H,7,0)</f>
        <v>0.33350000000000002</v>
      </c>
    </row>
    <row r="105" spans="1:10" ht="26.25">
      <c r="A105" s="10">
        <v>78</v>
      </c>
      <c r="B105" s="14" t="s">
        <v>216</v>
      </c>
      <c r="C105" s="27">
        <v>74</v>
      </c>
      <c r="D105" s="28" t="s">
        <v>283</v>
      </c>
      <c r="E105" s="28" t="s">
        <v>218</v>
      </c>
      <c r="F105" s="29">
        <v>48.2</v>
      </c>
      <c r="G105" s="29">
        <v>54.7</v>
      </c>
      <c r="H105" s="27" t="s">
        <v>88</v>
      </c>
      <c r="I105" s="34">
        <v>66</v>
      </c>
      <c r="J105" s="4">
        <f>VLOOKUP(D105,'[1]3111-001'!$B:$H,7,0)</f>
        <v>0.22969999999999999</v>
      </c>
    </row>
    <row r="106" spans="1:10" ht="13.15">
      <c r="A106" s="10">
        <v>79</v>
      </c>
      <c r="B106" s="14" t="s">
        <v>219</v>
      </c>
      <c r="C106" s="27">
        <v>75</v>
      </c>
      <c r="D106" s="28" t="s">
        <v>220</v>
      </c>
      <c r="E106" s="28" t="s">
        <v>69</v>
      </c>
      <c r="F106" s="29">
        <v>49.9</v>
      </c>
      <c r="G106" s="29">
        <v>59.3</v>
      </c>
      <c r="H106" s="27" t="s">
        <v>157</v>
      </c>
      <c r="I106" s="34">
        <v>61</v>
      </c>
      <c r="J106" s="4">
        <f>VLOOKUP(D106,'[1]3111-001'!$B:$H,7,0)</f>
        <v>0.25509999999999999</v>
      </c>
    </row>
    <row r="107" spans="1:10" ht="13.15">
      <c r="A107" s="10">
        <v>120</v>
      </c>
      <c r="B107" s="14" t="s">
        <v>221</v>
      </c>
      <c r="C107" s="27">
        <v>76</v>
      </c>
      <c r="D107" s="28" t="s">
        <v>222</v>
      </c>
      <c r="E107" s="28" t="s">
        <v>37</v>
      </c>
      <c r="F107" s="29">
        <v>46.8</v>
      </c>
      <c r="G107" s="29">
        <v>51.7</v>
      </c>
      <c r="H107" s="27" t="s">
        <v>223</v>
      </c>
      <c r="I107" s="34">
        <v>70</v>
      </c>
      <c r="J107" s="4">
        <f>VLOOKUP(D107,'[1]3111-001'!$B:$H,7,0)</f>
        <v>0.17580000000000001</v>
      </c>
    </row>
    <row r="108" spans="1:10">
      <c r="A108" s="10"/>
      <c r="B108" s="39" t="s">
        <v>224</v>
      </c>
      <c r="C108" s="12"/>
      <c r="D108" s="13" t="s">
        <v>224</v>
      </c>
      <c r="E108" s="13"/>
      <c r="F108" s="13"/>
      <c r="G108" s="13"/>
      <c r="H108" s="13"/>
      <c r="I108" s="13"/>
      <c r="J108" s="4">
        <f>VLOOKUP(D108,'[1]3111-001'!$B:$H,7,0)</f>
        <v>0</v>
      </c>
    </row>
    <row r="109" spans="1:10" s="3" customFormat="1" ht="13.15">
      <c r="A109" s="18">
        <v>80</v>
      </c>
      <c r="B109" s="40" t="s">
        <v>225</v>
      </c>
      <c r="C109" s="36">
        <v>90</v>
      </c>
      <c r="D109" s="37" t="s">
        <v>226</v>
      </c>
      <c r="E109" s="37" t="s">
        <v>37</v>
      </c>
      <c r="F109" s="38">
        <v>32.799999999999997</v>
      </c>
      <c r="G109" s="38">
        <v>36.200000000000003</v>
      </c>
      <c r="H109" s="36" t="s">
        <v>76</v>
      </c>
      <c r="I109" s="42">
        <v>99</v>
      </c>
      <c r="J109" s="4">
        <f>VLOOKUP(D109,'[1]3111-001'!$B:$H,7,0)</f>
        <v>0.11219999999999999</v>
      </c>
    </row>
    <row r="110" spans="1:10" s="3" customFormat="1" ht="26.25">
      <c r="A110" s="18">
        <v>31</v>
      </c>
      <c r="B110" s="19" t="s">
        <v>227</v>
      </c>
      <c r="C110" s="27">
        <v>77</v>
      </c>
      <c r="D110" s="28" t="s">
        <v>228</v>
      </c>
      <c r="E110" s="28" t="s">
        <v>229</v>
      </c>
      <c r="F110" s="29">
        <v>37.299999999999997</v>
      </c>
      <c r="G110" s="29">
        <v>41.2</v>
      </c>
      <c r="H110" s="27" t="s">
        <v>223</v>
      </c>
      <c r="I110" s="34">
        <v>87</v>
      </c>
      <c r="J110" s="4">
        <f>VLOOKUP(D110,'[1]3111-001'!$B:$H,7,0)</f>
        <v>0.1401</v>
      </c>
    </row>
    <row r="111" spans="1:10" ht="26.25">
      <c r="A111" s="10">
        <v>32</v>
      </c>
      <c r="B111" s="14" t="s">
        <v>230</v>
      </c>
      <c r="C111" s="27">
        <v>78</v>
      </c>
      <c r="D111" s="28" t="s">
        <v>231</v>
      </c>
      <c r="E111" s="28" t="s">
        <v>37</v>
      </c>
      <c r="F111" s="29">
        <v>30.6</v>
      </c>
      <c r="G111" s="29">
        <v>33.799999999999997</v>
      </c>
      <c r="H111" s="27" t="s">
        <v>34</v>
      </c>
      <c r="I111" s="34">
        <v>107</v>
      </c>
      <c r="J111" s="4">
        <f>VLOOKUP(D111,'[1]3111-001'!$B:$H,7,0)</f>
        <v>0.1082</v>
      </c>
    </row>
    <row r="112" spans="1:10" ht="26.25">
      <c r="A112" s="10">
        <v>33</v>
      </c>
      <c r="B112" s="14" t="s">
        <v>232</v>
      </c>
      <c r="C112" s="27">
        <v>79</v>
      </c>
      <c r="D112" s="28" t="s">
        <v>233</v>
      </c>
      <c r="E112" s="28" t="s">
        <v>234</v>
      </c>
      <c r="F112" s="29">
        <v>37.299999999999997</v>
      </c>
      <c r="G112" s="29">
        <v>41.2</v>
      </c>
      <c r="H112" s="27" t="s">
        <v>223</v>
      </c>
      <c r="I112" s="34">
        <v>87</v>
      </c>
      <c r="J112" s="4">
        <f>VLOOKUP(D112,'[1]3111-001'!$B:$H,7,0)</f>
        <v>0.1401</v>
      </c>
    </row>
    <row r="113" spans="1:10" ht="13.15">
      <c r="A113" s="10">
        <v>34</v>
      </c>
      <c r="B113" s="14" t="s">
        <v>235</v>
      </c>
      <c r="C113" s="27">
        <v>80</v>
      </c>
      <c r="D113" s="28" t="s">
        <v>236</v>
      </c>
      <c r="E113" s="28" t="s">
        <v>37</v>
      </c>
      <c r="F113" s="29">
        <v>24.7</v>
      </c>
      <c r="G113" s="29">
        <v>27.2</v>
      </c>
      <c r="H113" s="27" t="s">
        <v>76</v>
      </c>
      <c r="I113" s="34">
        <v>132</v>
      </c>
      <c r="J113" s="4">
        <f>VLOOKUP(D113,'[1]3111-001'!$B:$H,7,0)</f>
        <v>8.43E-2</v>
      </c>
    </row>
    <row r="114" spans="1:10" ht="13.15">
      <c r="A114" s="10">
        <v>35</v>
      </c>
      <c r="B114" s="14" t="s">
        <v>237</v>
      </c>
      <c r="C114" s="27">
        <v>86</v>
      </c>
      <c r="D114" s="28" t="s">
        <v>238</v>
      </c>
      <c r="E114" s="28" t="s">
        <v>239</v>
      </c>
      <c r="F114" s="29">
        <v>13.3</v>
      </c>
      <c r="G114" s="29">
        <v>14.7</v>
      </c>
      <c r="H114" s="27" t="s">
        <v>223</v>
      </c>
      <c r="I114" s="34">
        <v>245</v>
      </c>
      <c r="J114" s="4">
        <f>VLOOKUP(D114,'[1]3111-001'!$B:$H,7,0)</f>
        <v>0.05</v>
      </c>
    </row>
    <row r="115" spans="1:10" ht="13.15">
      <c r="A115" s="10"/>
      <c r="B115" s="23" t="s">
        <v>240</v>
      </c>
      <c r="C115" s="6"/>
      <c r="D115" s="5" t="s">
        <v>241</v>
      </c>
      <c r="E115" s="5"/>
      <c r="F115" s="5"/>
      <c r="G115" s="5"/>
      <c r="H115" s="5"/>
      <c r="I115" s="5"/>
      <c r="J115" s="4">
        <f>VLOOKUP(D115,'[1]3111-001'!$B:$H,7,0)</f>
        <v>0</v>
      </c>
    </row>
    <row r="116" spans="1:10">
      <c r="A116" s="10">
        <v>126</v>
      </c>
      <c r="B116" s="30" t="s">
        <v>242</v>
      </c>
      <c r="C116" s="12"/>
      <c r="D116" s="12"/>
      <c r="E116" s="12"/>
      <c r="F116" s="12"/>
      <c r="G116" s="12"/>
      <c r="H116" s="12"/>
      <c r="I116" s="12"/>
    </row>
    <row r="117" spans="1:10" ht="26.25">
      <c r="A117" s="10">
        <v>103</v>
      </c>
      <c r="B117" s="30" t="s">
        <v>243</v>
      </c>
      <c r="C117" s="27">
        <v>92</v>
      </c>
      <c r="D117" s="28" t="s">
        <v>243</v>
      </c>
      <c r="E117" s="28" t="s">
        <v>244</v>
      </c>
      <c r="F117" s="29">
        <v>55.9</v>
      </c>
      <c r="G117" s="29">
        <v>62.8</v>
      </c>
      <c r="H117" s="27" t="s">
        <v>157</v>
      </c>
      <c r="I117" s="34">
        <v>57</v>
      </c>
      <c r="J117" s="4">
        <f>VLOOKUP(D117,'[1]3111-001'!$B:$H,7,0)</f>
        <v>0.27</v>
      </c>
    </row>
    <row r="118" spans="1:10" ht="26.25">
      <c r="A118" s="10">
        <v>105</v>
      </c>
      <c r="B118" s="30" t="s">
        <v>245</v>
      </c>
      <c r="C118" s="27">
        <v>93</v>
      </c>
      <c r="D118" s="28" t="s">
        <v>222</v>
      </c>
      <c r="E118" s="28" t="s">
        <v>246</v>
      </c>
      <c r="F118" s="29">
        <v>59.9</v>
      </c>
      <c r="G118" s="29">
        <v>66.2</v>
      </c>
      <c r="H118" s="27" t="s">
        <v>223</v>
      </c>
      <c r="I118" s="34">
        <v>54</v>
      </c>
      <c r="J118" s="4">
        <f>VLOOKUP(D118,'[1]3111-001'!$B:$H,7,0)</f>
        <v>0.17580000000000001</v>
      </c>
    </row>
    <row r="119" spans="1:10" ht="13.15">
      <c r="A119" s="10">
        <v>96</v>
      </c>
      <c r="B119" s="41" t="s">
        <v>247</v>
      </c>
      <c r="C119" s="27">
        <v>94</v>
      </c>
      <c r="D119" s="28" t="s">
        <v>247</v>
      </c>
      <c r="E119" s="28" t="s">
        <v>37</v>
      </c>
      <c r="F119" s="29">
        <v>2.9</v>
      </c>
      <c r="G119" s="29">
        <v>3.2</v>
      </c>
      <c r="H119" s="27" t="s">
        <v>76</v>
      </c>
      <c r="I119" s="34">
        <v>1125</v>
      </c>
      <c r="J119" s="4">
        <f>VLOOKUP(D119,'[1]3111-001'!$B:$H,7,0)</f>
        <v>9.9000000000000008E-3</v>
      </c>
    </row>
    <row r="120" spans="1:10" ht="13.15">
      <c r="A120" s="10">
        <v>172</v>
      </c>
      <c r="B120" s="30" t="s">
        <v>248</v>
      </c>
      <c r="C120" s="27">
        <v>103</v>
      </c>
      <c r="D120" s="28" t="s">
        <v>248</v>
      </c>
      <c r="E120" s="28" t="s">
        <v>37</v>
      </c>
      <c r="F120" s="29">
        <v>3.7</v>
      </c>
      <c r="G120" s="29">
        <v>4.0999999999999996</v>
      </c>
      <c r="H120" s="27" t="s">
        <v>249</v>
      </c>
      <c r="I120" s="34">
        <v>878</v>
      </c>
      <c r="J120" s="4">
        <f>VLOOKUP(D120,'[1]3111-001'!$B:$H,7,0)</f>
        <v>1.29E-2</v>
      </c>
    </row>
    <row r="121" spans="1:10" ht="13.15">
      <c r="A121" s="10">
        <v>122</v>
      </c>
      <c r="B121" s="30" t="s">
        <v>250</v>
      </c>
      <c r="C121" s="27">
        <v>95</v>
      </c>
      <c r="D121" s="28" t="s">
        <v>251</v>
      </c>
      <c r="E121" s="28" t="s">
        <v>37</v>
      </c>
      <c r="F121" s="29">
        <v>5.9</v>
      </c>
      <c r="G121" s="29">
        <v>6.5</v>
      </c>
      <c r="H121" s="27" t="s">
        <v>76</v>
      </c>
      <c r="I121" s="34">
        <v>554</v>
      </c>
      <c r="J121" s="4">
        <f>VLOOKUP(D121,'[1]3111-001'!$B:$H,7,0)</f>
        <v>2.0199999999999999E-2</v>
      </c>
    </row>
    <row r="122" spans="1:10" ht="13.15">
      <c r="A122" s="10">
        <v>124</v>
      </c>
      <c r="B122" s="30" t="s">
        <v>252</v>
      </c>
      <c r="C122" s="27">
        <v>108</v>
      </c>
      <c r="D122" s="28" t="s">
        <v>253</v>
      </c>
      <c r="E122" s="28" t="s">
        <v>37</v>
      </c>
      <c r="F122" s="29">
        <v>5.0999999999999996</v>
      </c>
      <c r="G122" s="29">
        <v>5.6</v>
      </c>
      <c r="H122" s="27" t="s">
        <v>76</v>
      </c>
      <c r="I122" s="34">
        <v>643</v>
      </c>
      <c r="J122" s="4">
        <f>VLOOKUP(D122,'[1]3111-001'!$B:$H,7,0)</f>
        <v>1.7399999999999999E-2</v>
      </c>
    </row>
    <row r="123" spans="1:10" ht="13.15">
      <c r="A123" s="10">
        <v>123</v>
      </c>
      <c r="B123" s="30" t="s">
        <v>254</v>
      </c>
      <c r="C123" s="27">
        <v>109</v>
      </c>
      <c r="D123" s="28" t="s">
        <v>255</v>
      </c>
      <c r="E123" s="28" t="s">
        <v>37</v>
      </c>
      <c r="F123" s="29">
        <v>13.1</v>
      </c>
      <c r="G123" s="29">
        <v>14.5</v>
      </c>
      <c r="H123" s="27" t="s">
        <v>76</v>
      </c>
      <c r="I123" s="34">
        <v>248</v>
      </c>
      <c r="J123" s="4">
        <f>VLOOKUP(D123,'[1]3111-001'!$B:$H,7,0)</f>
        <v>4.4999999999999998E-2</v>
      </c>
    </row>
    <row r="124" spans="1:10" ht="13.15">
      <c r="A124" s="10">
        <v>95</v>
      </c>
      <c r="B124" s="30" t="s">
        <v>256</v>
      </c>
      <c r="C124" s="27">
        <v>97</v>
      </c>
      <c r="D124" s="28" t="s">
        <v>256</v>
      </c>
      <c r="E124" s="28" t="s">
        <v>37</v>
      </c>
      <c r="F124" s="29">
        <v>5.8</v>
      </c>
      <c r="G124" s="29">
        <v>6.4</v>
      </c>
      <c r="H124" s="27" t="s">
        <v>76</v>
      </c>
      <c r="I124" s="34">
        <v>563</v>
      </c>
      <c r="J124" s="4">
        <f>VLOOKUP(D124,'[1]3111-001'!$B:$H,7,0)</f>
        <v>1.9800000000000002E-2</v>
      </c>
    </row>
    <row r="125" spans="1:10" ht="13.15">
      <c r="A125" s="10">
        <v>140</v>
      </c>
      <c r="B125" s="30" t="s">
        <v>257</v>
      </c>
      <c r="C125" s="27">
        <v>98</v>
      </c>
      <c r="D125" s="28" t="s">
        <v>257</v>
      </c>
      <c r="E125" s="28" t="s">
        <v>37</v>
      </c>
      <c r="F125" s="29">
        <v>2.9</v>
      </c>
      <c r="G125" s="29">
        <v>3.2</v>
      </c>
      <c r="H125" s="27" t="s">
        <v>76</v>
      </c>
      <c r="I125" s="34">
        <v>1125</v>
      </c>
      <c r="J125" s="4">
        <f>VLOOKUP(D125,'[1]3111-001'!$B:$H,7,0)</f>
        <v>9.9000000000000008E-3</v>
      </c>
    </row>
    <row r="126" spans="1:10" ht="13.15">
      <c r="A126" s="10">
        <v>154</v>
      </c>
      <c r="B126" s="30" t="s">
        <v>258</v>
      </c>
      <c r="C126" s="27">
        <v>99</v>
      </c>
      <c r="D126" s="28" t="s">
        <v>284</v>
      </c>
      <c r="E126" s="28" t="s">
        <v>37</v>
      </c>
      <c r="F126" s="29">
        <v>13.1</v>
      </c>
      <c r="G126" s="29">
        <v>14.5</v>
      </c>
      <c r="H126" s="27" t="s">
        <v>76</v>
      </c>
      <c r="I126" s="34">
        <v>248</v>
      </c>
      <c r="J126" s="4">
        <f>VLOOKUP(D126,'[1]3111-001'!$B:$H,7,0)</f>
        <v>4.4999999999999998E-2</v>
      </c>
    </row>
    <row r="127" spans="1:10" ht="13.15">
      <c r="A127" s="10">
        <v>121</v>
      </c>
      <c r="B127" s="30" t="s">
        <v>260</v>
      </c>
      <c r="C127" s="27">
        <v>100</v>
      </c>
      <c r="D127" s="28" t="s">
        <v>261</v>
      </c>
      <c r="E127" s="28" t="s">
        <v>37</v>
      </c>
      <c r="F127" s="29">
        <v>16</v>
      </c>
      <c r="G127" s="29">
        <v>17.7</v>
      </c>
      <c r="H127" s="27" t="s">
        <v>76</v>
      </c>
      <c r="I127" s="34">
        <v>203</v>
      </c>
      <c r="J127" s="4">
        <f>VLOOKUP(D127,'[1]3111-001'!$B:$H,7,0)</f>
        <v>5.4899999999999997E-2</v>
      </c>
    </row>
    <row r="128" spans="1:10" ht="13.15">
      <c r="A128" s="10">
        <v>152</v>
      </c>
      <c r="B128" s="30" t="s">
        <v>264</v>
      </c>
      <c r="C128" s="27">
        <v>105</v>
      </c>
      <c r="D128" s="28" t="s">
        <v>264</v>
      </c>
      <c r="E128" s="28" t="s">
        <v>37</v>
      </c>
      <c r="F128" s="29">
        <v>1.4</v>
      </c>
      <c r="G128" s="29">
        <v>1.6</v>
      </c>
      <c r="H128" s="27" t="s">
        <v>249</v>
      </c>
      <c r="I128" s="34">
        <v>2250</v>
      </c>
      <c r="J128" s="4">
        <f>VLOOKUP(D128,'[1]3111-001'!$B:$H,7,0)</f>
        <v>5.1000000000000004E-3</v>
      </c>
    </row>
    <row r="129" spans="1:10" ht="13.15">
      <c r="A129" s="10">
        <v>102</v>
      </c>
      <c r="B129" s="30" t="s">
        <v>265</v>
      </c>
      <c r="C129" s="27">
        <v>104</v>
      </c>
      <c r="D129" s="28" t="s">
        <v>265</v>
      </c>
      <c r="E129" s="28" t="s">
        <v>37</v>
      </c>
      <c r="F129" s="29">
        <v>3.8</v>
      </c>
      <c r="G129" s="29">
        <v>4.2</v>
      </c>
      <c r="H129" s="27" t="s">
        <v>249</v>
      </c>
      <c r="I129" s="34">
        <v>857</v>
      </c>
      <c r="J129" s="4">
        <f>VLOOKUP(D129,'[1]3111-001'!$B:$H,7,0)</f>
        <v>1.3299999999999999E-2</v>
      </c>
    </row>
    <row r="130" spans="1:10" ht="13.15">
      <c r="A130" s="10">
        <v>101</v>
      </c>
      <c r="B130" s="30" t="s">
        <v>266</v>
      </c>
      <c r="C130" s="27">
        <v>106</v>
      </c>
      <c r="D130" s="28" t="s">
        <v>267</v>
      </c>
      <c r="E130" s="28" t="s">
        <v>37</v>
      </c>
      <c r="F130" s="29">
        <v>4.5</v>
      </c>
      <c r="G130" s="29">
        <v>5</v>
      </c>
      <c r="H130" s="27" t="s">
        <v>76</v>
      </c>
      <c r="I130" s="34">
        <v>720</v>
      </c>
      <c r="J130" s="4">
        <f>VLOOKUP(D130,'[1]3111-001'!$B:$H,7,0)</f>
        <v>1.55E-2</v>
      </c>
    </row>
    <row r="131" spans="1:10" ht="39.4">
      <c r="A131" s="10">
        <v>165</v>
      </c>
      <c r="B131" s="30" t="s">
        <v>270</v>
      </c>
      <c r="C131" s="27">
        <v>102</v>
      </c>
      <c r="D131" s="28" t="s">
        <v>285</v>
      </c>
      <c r="E131" s="28" t="s">
        <v>37</v>
      </c>
      <c r="F131" s="29">
        <v>10.5</v>
      </c>
      <c r="G131" s="29">
        <v>11.6</v>
      </c>
      <c r="H131" s="27" t="s">
        <v>76</v>
      </c>
      <c r="I131" s="34">
        <v>310</v>
      </c>
      <c r="J131" s="4">
        <f>VLOOKUP(D131,'[1]3111-001'!$B:$H,7,0)</f>
        <v>3.5999999999999997E-2</v>
      </c>
    </row>
    <row r="132" spans="1:10" ht="13.15">
      <c r="A132" s="10">
        <v>169</v>
      </c>
      <c r="B132" s="30" t="s">
        <v>274</v>
      </c>
      <c r="C132" s="27">
        <v>107</v>
      </c>
      <c r="D132" s="28" t="s">
        <v>274</v>
      </c>
      <c r="E132" s="28" t="s">
        <v>37</v>
      </c>
      <c r="F132" s="29">
        <v>0.9</v>
      </c>
      <c r="G132" s="29">
        <v>1</v>
      </c>
      <c r="H132" s="27" t="s">
        <v>249</v>
      </c>
      <c r="I132" s="34">
        <v>3600</v>
      </c>
      <c r="J132" s="4">
        <f>VLOOKUP(D132,'[1]3111-001'!$B:$H,7,0)</f>
        <v>3.2000000000000002E-3</v>
      </c>
    </row>
    <row r="134" spans="1:10">
      <c r="A134" s="73" t="s">
        <v>275</v>
      </c>
      <c r="B134" s="73"/>
      <c r="C134" s="73"/>
      <c r="D134" s="73"/>
      <c r="E134" s="73"/>
      <c r="F134" s="73"/>
      <c r="G134" s="73"/>
      <c r="H134" s="73"/>
      <c r="I134" s="73"/>
    </row>
    <row r="135" spans="1:10">
      <c r="A135" s="73"/>
      <c r="B135" s="73"/>
      <c r="C135" s="73"/>
      <c r="D135" s="73"/>
      <c r="E135" s="73"/>
      <c r="F135" s="73"/>
      <c r="G135" s="73"/>
      <c r="H135" s="73"/>
      <c r="I135" s="73"/>
    </row>
  </sheetData>
  <autoFilter ref="A20:CV134" xr:uid="{00000000-0009-0000-0000-000001000000}"/>
  <mergeCells count="28">
    <mergeCell ref="A135:I135"/>
    <mergeCell ref="D40:D41"/>
    <mergeCell ref="E40:E41"/>
    <mergeCell ref="F40:F41"/>
    <mergeCell ref="G40:G41"/>
    <mergeCell ref="H40:H41"/>
    <mergeCell ref="I40:I41"/>
    <mergeCell ref="B16:F16"/>
    <mergeCell ref="B17:F17"/>
    <mergeCell ref="B18:F18"/>
    <mergeCell ref="B19:F19"/>
    <mergeCell ref="A134:I134"/>
    <mergeCell ref="G4:I19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I1"/>
    <mergeCell ref="A2:I2"/>
    <mergeCell ref="A3:I3"/>
    <mergeCell ref="B4:F4"/>
    <mergeCell ref="B5:F5"/>
  </mergeCells>
  <conditionalFormatting sqref="A21:A132">
    <cfRule type="duplicateValues" dxfId="0" priority="1"/>
  </conditionalFormatting>
  <printOptions horizontalCentered="1"/>
  <pageMargins left="7.9166666666666705E-2" right="7.9166666666666705E-2" top="0.39652777777777798" bottom="0.39652777777777798" header="0.19791666666666699" footer="0.19791666666666699"/>
  <pageSetup paperSize="9" orientation="portrait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3111-001</vt:lpstr>
      <vt:lpstr>3111-001 -财务</vt:lpstr>
      <vt:lpstr>'3111-001'!Print_Titles</vt:lpstr>
      <vt:lpstr>'3111-001 -财务'!Print_Titles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Yunzhu Lai</cp:lastModifiedBy>
  <dcterms:created xsi:type="dcterms:W3CDTF">2025-07-22T05:40:00Z</dcterms:created>
  <dcterms:modified xsi:type="dcterms:W3CDTF">2025-09-20T11:03:37Z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29513CF287314E0DB52F635793E0A16D_11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