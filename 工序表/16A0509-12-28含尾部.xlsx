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Yunzhu Lai\Dropbox\Yunzhu Exp\data\International order firm\runfeng\半年数据\半年数据\工序表\"/>
    </mc:Choice>
  </mc:AlternateContent>
  <xr:revisionPtr revIDLastSave="0" documentId="8_{556EC7C5-5F6B-41FC-8699-1F2EE634E672}" xr6:coauthVersionLast="47" xr6:coauthVersionMax="47" xr10:uidLastSave="{00000000-0000-0000-0000-000000000000}"/>
  <bookViews>
    <workbookView xWindow="2332" yWindow="870" windowWidth="19021" windowHeight="13170" xr2:uid="{00000000-000D-0000-FFFF-FFFF00000000}"/>
  </bookViews>
  <sheets>
    <sheet name="16A0509" sheetId="1" r:id="rId1"/>
  </sheets>
  <definedNames>
    <definedName name="_xlnm.Print_Area" localSheetId="0">'16A0509'!$A$1:$H$115</definedName>
    <definedName name="_xlnm.Print_Titles" localSheetId="0">'16A0509'!$1:$11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  <c r="B10" i="1"/>
</calcChain>
</file>

<file path=xl/sharedStrings.xml><?xml version="1.0" encoding="utf-8"?>
<sst xmlns="http://schemas.openxmlformats.org/spreadsheetml/2006/main" count="384" uniqueCount="183">
  <si>
    <t>重庆尚上服饰有限公司</t>
  </si>
  <si>
    <t>款式工序表</t>
  </si>
  <si>
    <t>打印日期：2024-11-30 10:24:11</t>
  </si>
  <si>
    <t>生产制单号：</t>
  </si>
  <si>
    <t>16A0509</t>
  </si>
  <si>
    <t>客　　户：</t>
  </si>
  <si>
    <t>上海润昌</t>
  </si>
  <si>
    <t>客户款号：</t>
  </si>
  <si>
    <t>款式描述：</t>
  </si>
  <si>
    <t>针织带帽拉链衫</t>
  </si>
  <si>
    <t>品质标准：</t>
  </si>
  <si>
    <t>数　　量：</t>
  </si>
  <si>
    <t>车缝时间：</t>
  </si>
  <si>
    <t>车缝10H台产：</t>
  </si>
  <si>
    <t>裁床10H台产：</t>
  </si>
  <si>
    <t>尾部10H台产</t>
  </si>
  <si>
    <t>裁床单价：</t>
  </si>
  <si>
    <t>车缝单价：</t>
  </si>
  <si>
    <t>后道单价：</t>
  </si>
  <si>
    <t>总 单 价：</t>
  </si>
  <si>
    <t>平均秒值：</t>
  </si>
  <si>
    <t>分 析 员：</t>
  </si>
  <si>
    <t>QLY-钱玲燕</t>
  </si>
  <si>
    <t>工序号</t>
  </si>
  <si>
    <t>工序名称</t>
  </si>
  <si>
    <t>机器类型</t>
  </si>
  <si>
    <t>基础时间</t>
  </si>
  <si>
    <t>GST时间</t>
  </si>
  <si>
    <t>工序等级</t>
  </si>
  <si>
    <t>小时目标</t>
  </si>
  <si>
    <t>1-裁床</t>
  </si>
  <si>
    <t>松主面布*1.1573</t>
  </si>
  <si>
    <t>松主面布*1.4491</t>
  </si>
  <si>
    <t>松布机</t>
  </si>
  <si>
    <t>E2</t>
  </si>
  <si>
    <t>拉主面布*1.1573</t>
  </si>
  <si>
    <t>拉主面布*1.4491</t>
  </si>
  <si>
    <t>拉布机</t>
  </si>
  <si>
    <t>E3</t>
  </si>
  <si>
    <t>裁剪主面布*15</t>
  </si>
  <si>
    <t>电脑裁剪</t>
  </si>
  <si>
    <t>D4</t>
  </si>
  <si>
    <t>主面布分包*15</t>
  </si>
  <si>
    <t>手工</t>
  </si>
  <si>
    <t>打编号*15</t>
  </si>
  <si>
    <t>松袋布*0.0451</t>
  </si>
  <si>
    <t>松袋布*0.1627</t>
  </si>
  <si>
    <t>拉袋布*0.0451</t>
  </si>
  <si>
    <t>拉袋布*0.1627</t>
  </si>
  <si>
    <t>面布验片/配补片*12</t>
  </si>
  <si>
    <t>裁剪袋布*4</t>
  </si>
  <si>
    <t>袋布分包*4(大包）</t>
  </si>
  <si>
    <t>E1</t>
  </si>
  <si>
    <t>拉衬布*0.0316</t>
  </si>
  <si>
    <t>拉衬布*0.0201</t>
  </si>
  <si>
    <t>裁剪衬布*2（气眼衬算一片）</t>
  </si>
  <si>
    <t>电脑裁床</t>
  </si>
  <si>
    <t>衬分大包*1</t>
  </si>
  <si>
    <t>烫面筒衬*1</t>
  </si>
  <si>
    <t>中烫（气烫）</t>
  </si>
  <si>
    <t>烫帽气眼衬*2</t>
  </si>
  <si>
    <t>烫后中标/撕标*1</t>
  </si>
  <si>
    <t>烫标机</t>
  </si>
  <si>
    <t>烫后下标/撕标*1</t>
  </si>
  <si>
    <t>下裁片</t>
  </si>
  <si>
    <t>2-小部件/门筒/袖口/下摆</t>
  </si>
  <si>
    <t>领织带缩水连回/米</t>
  </si>
  <si>
    <t>平车运翻底门筒两端暗线*1（修止口）</t>
  </si>
  <si>
    <t>电脑平车</t>
  </si>
  <si>
    <t>C3</t>
  </si>
  <si>
    <t>中烫烫平底门筒*1</t>
  </si>
  <si>
    <t>中烫烫平底门筒*1（一片式门筒）</t>
  </si>
  <si>
    <t>D1</t>
  </si>
  <si>
    <t>四线锁内门筒*1</t>
  </si>
  <si>
    <t>四线锁内门筒（车台定位定宽窄)*1</t>
  </si>
  <si>
    <t>电脑四线锁边车</t>
  </si>
  <si>
    <t>C1</t>
  </si>
  <si>
    <t>平车折订拉链头码带2*1</t>
  </si>
  <si>
    <t>D3</t>
  </si>
  <si>
    <t>手工模板合指拇洞*2</t>
  </si>
  <si>
    <t>手工模板合指拇洞*2（分三段）</t>
  </si>
  <si>
    <t>平车开骨合指姆洞暗线及翻2*2</t>
  </si>
  <si>
    <t>平车开骨合指姆洞暗线及翻2*2（拇指扣位已固定）</t>
  </si>
  <si>
    <t>C4</t>
  </si>
  <si>
    <t>打拇指扣枣位2*2</t>
  </si>
  <si>
    <t>电脑打枣车</t>
  </si>
  <si>
    <t>E4</t>
  </si>
  <si>
    <t>平车拼接下摆拼缝连打刀口2*1</t>
  </si>
  <si>
    <t>中烫开骨烫下摆拼缝2*1</t>
  </si>
  <si>
    <t>3-帽子</t>
  </si>
  <si>
    <t>冲帽气眼孔*2</t>
  </si>
  <si>
    <t>冲帽气眼孔*2（车台定位）</t>
  </si>
  <si>
    <t>啤机</t>
  </si>
  <si>
    <t>打帽气眼放胶垫*2</t>
  </si>
  <si>
    <t>四线合里帽中缝*2</t>
  </si>
  <si>
    <t>四线合面帽中缝落定位条*2</t>
  </si>
  <si>
    <t>单针冚车压帽中缝明线*2</t>
  </si>
  <si>
    <t>电脑单针双线冚车</t>
  </si>
  <si>
    <t>四线对位合里面帽檐暗线*1</t>
  </si>
  <si>
    <t>平车固定里面帽定位条*2</t>
  </si>
  <si>
    <t>平车、翻帽子对位固定帽底边线*1</t>
  </si>
  <si>
    <t>平车、翻帽子对位固定帽底边线*1 (针脚调稀）</t>
  </si>
  <si>
    <t>中烫整烫帽檐*1</t>
  </si>
  <si>
    <t>单针冚车冚帽檐宽线*1</t>
  </si>
  <si>
    <t>单针冚车冚帽檐宽线*1（已中烫）</t>
  </si>
  <si>
    <t>B1</t>
  </si>
  <si>
    <t>手工穿帽绳（调节帽绳长短）*1</t>
  </si>
  <si>
    <t>4-前片</t>
  </si>
  <si>
    <t>模板落袋布于前袋口转角暗线连压袋口暗边线*2</t>
  </si>
  <si>
    <t>平车落袋布于前袋口转角暗线*2（车台定位）</t>
  </si>
  <si>
    <t>调整工时</t>
  </si>
  <si>
    <t>手工打袋口两端刀口*2</t>
  </si>
  <si>
    <t>手工打袋口两端刀口连压袋口暗边线*2</t>
  </si>
  <si>
    <t>模板落袋布一周及侧缝排肶</t>
  </si>
  <si>
    <t>平车落袋布固定袋口上下*2</t>
  </si>
  <si>
    <t>平车固定袋布于前中及下摆*2（针脚调稀）</t>
  </si>
  <si>
    <t>平车排肶侧缝袋口位一段*2</t>
  </si>
  <si>
    <t>平车排肶袋口</t>
  </si>
  <si>
    <t>四线合前袋布顶*2</t>
  </si>
  <si>
    <t>中烫前袋口*2</t>
  </si>
  <si>
    <t>平车订前袋打枣位2*2</t>
  </si>
  <si>
    <t>5-组合</t>
  </si>
  <si>
    <t>挂片</t>
  </si>
  <si>
    <t>挂片/配补片</t>
  </si>
  <si>
    <t>B+</t>
  </si>
  <si>
    <t>四线上前后插肩袖2*2</t>
  </si>
  <si>
    <t>四线合前侧缝连袖底缝*2</t>
  </si>
  <si>
    <t>四线合前侧缝连袖底缝*2（已排肶）</t>
  </si>
  <si>
    <t>四线对位上袖口*2</t>
  </si>
  <si>
    <t>平车订洗标、ID标于后侧缝*1</t>
  </si>
  <si>
    <t>平车订洗标、ID标于后侧缝（车台定位）*1</t>
  </si>
  <si>
    <t>四线对位上帽*1</t>
  </si>
  <si>
    <t>四线对位上帽*1（比帽咀高低）</t>
  </si>
  <si>
    <t>B2</t>
  </si>
  <si>
    <t>平车拉筒拉领圈弹力织带*1</t>
  </si>
  <si>
    <t>平车压领织带明线</t>
  </si>
  <si>
    <t>平车压领织带明线连落透明挂耳、主标（弹力织带）*1</t>
  </si>
  <si>
    <t>B3</t>
  </si>
  <si>
    <t>量剪透明挂耳*1连落透明挂耳、主标*1</t>
  </si>
  <si>
    <t>量剪透明挂耳*1（车台定位几根一剪）</t>
  </si>
  <si>
    <t>手工比前袋下摆高低位*2</t>
  </si>
  <si>
    <t>手工比前袋下摆高低位*2（套起做）</t>
  </si>
  <si>
    <t>平车对位上下摆侧缝骨位2*1</t>
  </si>
  <si>
    <t>四线对位折上下摆*1</t>
  </si>
  <si>
    <t>四线对位折上下摆*1(侧缝位置已固定）</t>
  </si>
  <si>
    <t>四线锁前中散口*2</t>
  </si>
  <si>
    <t>中烫台面定位熏烫前片前中位置点长短位*2</t>
  </si>
  <si>
    <t>中烫台面定位熏烫前片前中位置点长短位*2（裁片）</t>
  </si>
  <si>
    <t>中烫拔烫前中拉链*1</t>
  </si>
  <si>
    <t>自动模板对位上前中拉链连落底门筒2*1</t>
  </si>
  <si>
    <t>小型全自动模板机</t>
  </si>
  <si>
    <t>封拉链头位</t>
  </si>
  <si>
    <t>平车上一边拉链尾一段*1（2-3cm）</t>
  </si>
  <si>
    <t>平车压前中拉链明线*2</t>
  </si>
  <si>
    <t>中查</t>
  </si>
  <si>
    <t>检验</t>
  </si>
  <si>
    <t>组检成品</t>
  </si>
  <si>
    <t>6-专机</t>
  </si>
  <si>
    <t>打袋口枣*4</t>
  </si>
  <si>
    <t>打帽中枣*1（固定帽绳）</t>
  </si>
  <si>
    <t>7-尾部</t>
  </si>
  <si>
    <t>尾部收货</t>
  </si>
  <si>
    <t>大烫</t>
  </si>
  <si>
    <t>大烫（上架整烫）</t>
  </si>
  <si>
    <t>整烫（尾部）</t>
  </si>
  <si>
    <t>尾查</t>
  </si>
  <si>
    <t>检验/剪线毛</t>
  </si>
  <si>
    <t>尾查（成品）</t>
  </si>
  <si>
    <t>分色/分码</t>
  </si>
  <si>
    <t>分PO</t>
  </si>
  <si>
    <t>穿挂吊牌*1</t>
  </si>
  <si>
    <t>查码</t>
  </si>
  <si>
    <t>包装搬运</t>
  </si>
  <si>
    <t>枪针固定尺码条两端*1（含贴尺码条）</t>
  </si>
  <si>
    <t>贴胶袋贴纸*1（网单）</t>
  </si>
  <si>
    <t>单件折叠（叠成豆腐块）*1</t>
  </si>
  <si>
    <t>单件装袋自动封口*1（网单）</t>
  </si>
  <si>
    <t>验针</t>
  </si>
  <si>
    <t>装箱前检查包装</t>
  </si>
  <si>
    <t>独色独码装箱25件（拉纸箱、写箱号、封箱底、套胶袋、放天地板、放干燥剂、封箱、贴箱贴*4、称重）网单</t>
  </si>
  <si>
    <t>混色混码39件(写箱号 贴箱贴*4 封箱 装箱 放天地板 封箱 称箱 放箱)</t>
  </si>
  <si>
    <t>拉箱入库</t>
  </si>
  <si>
    <t>制表人：钱玲燕      审核：　　　    　 审批：　        批准：                          　　　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</si>
</sst>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8" formatCode="0.0_ "/>
    <numFmt numFmtId="169" formatCode="0_ "/>
  </numFmts>
  <fonts count="5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1" fillId="3" borderId="0" xfId="0" applyFont="1" applyFill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>
      <alignment vertical="center"/>
    </xf>
    <xf numFmtId="0" fontId="4" fillId="0" borderId="1" xfId="0" applyFont="1" applyBorder="1">
      <alignment vertical="center"/>
    </xf>
    <xf numFmtId="49" fontId="1" fillId="5" borderId="1" xfId="0" applyNumberFormat="1" applyFont="1" applyFill="1" applyBorder="1">
      <alignment vertical="center"/>
    </xf>
    <xf numFmtId="49" fontId="1" fillId="0" borderId="1" xfId="0" applyNumberFormat="1" applyFont="1" applyBorder="1" applyAlignment="1">
      <alignment vertical="center" wrapText="1"/>
    </xf>
    <xf numFmtId="49" fontId="1" fillId="0" borderId="1" xfId="0" applyNumberFormat="1" applyFont="1" applyBorder="1">
      <alignment vertical="center"/>
    </xf>
    <xf numFmtId="168" fontId="1" fillId="0" borderId="1" xfId="0" applyNumberFormat="1" applyFont="1" applyBorder="1" applyAlignment="1">
      <alignment horizontal="center" vertical="center"/>
    </xf>
    <xf numFmtId="16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>
      <alignment vertical="center"/>
    </xf>
    <xf numFmtId="0" fontId="1" fillId="2" borderId="1" xfId="0" applyFont="1" applyFill="1" applyBorder="1">
      <alignment vertical="center"/>
    </xf>
    <xf numFmtId="168" fontId="1" fillId="2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49" fontId="1" fillId="2" borderId="1" xfId="0" applyNumberFormat="1" applyFont="1" applyFill="1" applyBorder="1" applyAlignment="1">
      <alignment vertical="center" wrapText="1"/>
    </xf>
    <xf numFmtId="169" fontId="1" fillId="2" borderId="1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>
      <alignment vertical="center"/>
    </xf>
    <xf numFmtId="49" fontId="1" fillId="3" borderId="1" xfId="0" applyNumberFormat="1" applyFont="1" applyFill="1" applyBorder="1" applyAlignment="1">
      <alignment vertical="center" wrapText="1"/>
    </xf>
    <xf numFmtId="168" fontId="1" fillId="3" borderId="1" xfId="0" applyNumberFormat="1" applyFont="1" applyFill="1" applyBorder="1" applyAlignment="1">
      <alignment horizontal="center" vertical="center"/>
    </xf>
    <xf numFmtId="169" fontId="1" fillId="3" borderId="1" xfId="0" applyNumberFormat="1" applyFont="1" applyFill="1" applyBorder="1" applyAlignment="1">
      <alignment horizontal="center" vertical="center"/>
    </xf>
    <xf numFmtId="49" fontId="1" fillId="5" borderId="2" xfId="0" applyNumberFormat="1" applyFont="1" applyFill="1" applyBorder="1">
      <alignment vertical="center"/>
    </xf>
    <xf numFmtId="0" fontId="1" fillId="5" borderId="1" xfId="0" applyFont="1" applyFill="1" applyBorder="1">
      <alignment vertical="center"/>
    </xf>
    <xf numFmtId="49" fontId="1" fillId="5" borderId="1" xfId="0" applyNumberFormat="1" applyFont="1" applyFill="1" applyBorder="1" applyAlignment="1">
      <alignment vertical="center" wrapText="1"/>
    </xf>
    <xf numFmtId="168" fontId="1" fillId="0" borderId="1" xfId="0" applyNumberFormat="1" applyFont="1" applyBorder="1">
      <alignment vertical="center"/>
    </xf>
    <xf numFmtId="169" fontId="1" fillId="0" borderId="1" xfId="0" applyNumberFormat="1" applyFont="1" applyBorder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49" fontId="1" fillId="0" borderId="2" xfId="0" applyNumberFormat="1" applyFont="1" applyBorder="1" applyAlignment="1">
      <alignment horizontal="left" vertical="center"/>
    </xf>
    <xf numFmtId="49" fontId="1" fillId="0" borderId="3" xfId="0" applyNumberFormat="1" applyFont="1" applyBorder="1" applyAlignment="1">
      <alignment horizontal="left" vertical="center"/>
    </xf>
    <xf numFmtId="49" fontId="1" fillId="0" borderId="4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9" fontId="1" fillId="0" borderId="2" xfId="0" applyNumberFormat="1" applyFont="1" applyBorder="1" applyAlignment="1">
      <alignment horizontal="left" vertical="center"/>
    </xf>
    <xf numFmtId="9" fontId="1" fillId="0" borderId="3" xfId="0" applyNumberFormat="1" applyFont="1" applyBorder="1" applyAlignment="1">
      <alignment horizontal="left" vertical="center"/>
    </xf>
    <xf numFmtId="9" fontId="1" fillId="0" borderId="4" xfId="0" applyNumberFormat="1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49" fontId="1" fillId="2" borderId="5" xfId="0" applyNumberFormat="1" applyFont="1" applyFill="1" applyBorder="1" applyAlignment="1">
      <alignment horizontal="left" vertical="center"/>
    </xf>
    <xf numFmtId="49" fontId="1" fillId="2" borderId="6" xfId="0" applyNumberFormat="1" applyFont="1" applyFill="1" applyBorder="1" applyAlignment="1">
      <alignment horizontal="left" vertical="center"/>
    </xf>
    <xf numFmtId="49" fontId="1" fillId="2" borderId="7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1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firstRowStripe" dxfId="15"/>
      <tableStyleElement type="firstColumnStripe" dxfId="14"/>
    </tableStyle>
    <tableStyle name="PivotStylePreset2_Accent1" table="0" count="10" xr9:uid="{267968C8-6FFD-4C36-ACC1-9EA1FD1885CA}">
      <tableStyleElement type="headerRow" dxfId="13"/>
      <tableStyleElement type="totalRow" dxfId="12"/>
      <tableStyleElement type="firstRowStripe" dxfId="11"/>
      <tableStyleElement type="firstColumnStripe" dxfId="10"/>
      <tableStyleElement type="firstSubtotalRow" dxfId="9"/>
      <tableStyleElement type="secondSubtotalRow" dxfId="8"/>
      <tableStyleElement type="firstRowSubheading" dxfId="7"/>
      <tableStyleElement type="secondRowSubheading" dxfId="6"/>
      <tableStyleElement type="pageFieldLabels" dxfId="5"/>
      <tableStyleElement type="pageFieldValues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292100</xdr:colOff>
      <xdr:row>0</xdr:row>
      <xdr:rowOff>50800</xdr:rowOff>
    </xdr:from>
    <xdr:to>
      <xdr:col>7</xdr:col>
      <xdr:colOff>447675</xdr:colOff>
      <xdr:row>20</xdr:row>
      <xdr:rowOff>79375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16725" y="50800"/>
          <a:ext cx="2879725" cy="21844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115"/>
  <sheetViews>
    <sheetView tabSelected="1" view="pageBreakPreview" zoomScaleNormal="100" workbookViewId="0">
      <selection activeCell="C28" sqref="C28"/>
    </sheetView>
  </sheetViews>
  <sheetFormatPr defaultColWidth="9" defaultRowHeight="13.15"/>
  <cols>
    <col min="1" max="1" width="9.59765625" style="4" customWidth="1"/>
    <col min="2" max="2" width="35.3984375" style="1" customWidth="1"/>
    <col min="3" max="3" width="40.59765625" style="1" customWidth="1"/>
    <col min="4" max="4" width="13.265625" style="1" customWidth="1"/>
    <col min="5" max="8" width="7.46484375" style="4" customWidth="1"/>
    <col min="9" max="93" width="9" style="1"/>
    <col min="94" max="94" width="59.59765625" style="1" customWidth="1"/>
    <col min="95" max="16384" width="9" style="1"/>
  </cols>
  <sheetData>
    <row r="1" spans="1:94" ht="25.5">
      <c r="A1" s="38" t="s">
        <v>0</v>
      </c>
      <c r="B1" s="38"/>
      <c r="C1" s="38"/>
      <c r="D1" s="38"/>
      <c r="E1" s="38"/>
      <c r="F1" s="38"/>
      <c r="G1" s="38"/>
      <c r="H1" s="38"/>
    </row>
    <row r="2" spans="1:94" ht="21">
      <c r="A2" s="39" t="s">
        <v>1</v>
      </c>
      <c r="B2" s="39"/>
      <c r="C2" s="39"/>
      <c r="D2" s="39"/>
      <c r="E2" s="39"/>
      <c r="F2" s="39"/>
      <c r="G2" s="39"/>
      <c r="H2" s="39"/>
    </row>
    <row r="3" spans="1:94">
      <c r="A3" s="40" t="s">
        <v>2</v>
      </c>
      <c r="B3" s="41"/>
      <c r="C3" s="41"/>
      <c r="D3" s="41"/>
      <c r="E3" s="40"/>
      <c r="F3" s="40"/>
      <c r="G3" s="40"/>
      <c r="H3" s="40"/>
    </row>
    <row r="4" spans="1:94">
      <c r="A4" s="6" t="s">
        <v>3</v>
      </c>
      <c r="B4" s="42" t="s">
        <v>4</v>
      </c>
      <c r="C4" s="43"/>
      <c r="D4" s="43"/>
      <c r="E4" s="44"/>
      <c r="F4" s="40"/>
      <c r="G4" s="40"/>
      <c r="H4" s="40"/>
    </row>
    <row r="5" spans="1:94">
      <c r="A5" s="6" t="s">
        <v>5</v>
      </c>
      <c r="B5" s="45" t="s">
        <v>6</v>
      </c>
      <c r="C5" s="46"/>
      <c r="D5" s="46"/>
      <c r="E5" s="47"/>
      <c r="F5" s="40"/>
      <c r="G5" s="40"/>
      <c r="H5" s="40"/>
    </row>
    <row r="6" spans="1:94">
      <c r="A6" s="6" t="s">
        <v>7</v>
      </c>
      <c r="B6" s="42" t="s">
        <v>4</v>
      </c>
      <c r="C6" s="43"/>
      <c r="D6" s="43"/>
      <c r="E6" s="44"/>
      <c r="F6" s="40"/>
      <c r="G6" s="40"/>
      <c r="H6" s="40"/>
    </row>
    <row r="7" spans="1:94" ht="12" customHeight="1">
      <c r="A7" s="6" t="s">
        <v>8</v>
      </c>
      <c r="B7" s="45" t="s">
        <v>9</v>
      </c>
      <c r="C7" s="48"/>
      <c r="D7" s="46"/>
      <c r="E7" s="49"/>
      <c r="F7" s="40"/>
      <c r="G7" s="40"/>
      <c r="H7" s="40"/>
      <c r="CP7" s="22"/>
    </row>
    <row r="8" spans="1:94" ht="12" hidden="1" customHeight="1">
      <c r="A8" s="6" t="s">
        <v>10</v>
      </c>
      <c r="B8" s="45"/>
      <c r="C8" s="48"/>
      <c r="D8" s="46"/>
      <c r="E8" s="49"/>
      <c r="F8" s="40"/>
      <c r="G8" s="40"/>
      <c r="H8" s="40"/>
      <c r="CP8" s="22"/>
    </row>
    <row r="9" spans="1:94" hidden="1">
      <c r="A9" s="6" t="s">
        <v>11</v>
      </c>
      <c r="B9" s="45"/>
      <c r="C9" s="46"/>
      <c r="D9" s="46"/>
      <c r="E9" s="47"/>
      <c r="F9" s="40"/>
      <c r="G9" s="40"/>
      <c r="H9" s="40"/>
    </row>
    <row r="10" spans="1:94" ht="26.25">
      <c r="A10" s="7" t="s">
        <v>12</v>
      </c>
      <c r="B10" s="45">
        <f>SUM(F41:F72,F75:F91)</f>
        <v>1414.8</v>
      </c>
      <c r="C10" s="46"/>
      <c r="D10" s="46"/>
      <c r="E10" s="47"/>
      <c r="F10" s="40"/>
      <c r="G10" s="40"/>
      <c r="H10" s="40"/>
    </row>
    <row r="11" spans="1:94" ht="16.05" customHeight="1">
      <c r="A11" s="7" t="s">
        <v>13</v>
      </c>
      <c r="B11" s="45">
        <f>37800/B10</f>
        <v>26.717557251908399</v>
      </c>
      <c r="C11" s="46"/>
      <c r="D11" s="46"/>
      <c r="E11" s="47"/>
      <c r="F11" s="40"/>
      <c r="G11" s="40"/>
      <c r="H11" s="40"/>
    </row>
    <row r="12" spans="1:94" hidden="1">
      <c r="A12" s="6" t="s">
        <v>14</v>
      </c>
      <c r="B12" s="45"/>
      <c r="C12" s="46"/>
      <c r="D12" s="46"/>
      <c r="E12" s="47"/>
      <c r="F12" s="40"/>
      <c r="G12" s="40"/>
      <c r="H12" s="40"/>
    </row>
    <row r="13" spans="1:94" hidden="1">
      <c r="A13" s="6" t="s">
        <v>15</v>
      </c>
      <c r="B13" s="50"/>
      <c r="C13" s="51"/>
      <c r="D13" s="51"/>
      <c r="E13" s="52"/>
      <c r="F13" s="40"/>
      <c r="G13" s="40"/>
      <c r="H13" s="40"/>
    </row>
    <row r="14" spans="1:94" ht="26.25" hidden="1">
      <c r="A14" s="7" t="s">
        <v>16</v>
      </c>
      <c r="B14" s="45"/>
      <c r="C14" s="46"/>
      <c r="D14" s="46"/>
      <c r="E14" s="47"/>
      <c r="F14" s="40"/>
      <c r="G14" s="40"/>
      <c r="H14" s="40"/>
    </row>
    <row r="15" spans="1:94" ht="26.25" hidden="1">
      <c r="A15" s="7" t="s">
        <v>17</v>
      </c>
      <c r="B15" s="45"/>
      <c r="C15" s="46"/>
      <c r="D15" s="46"/>
      <c r="E15" s="47"/>
      <c r="F15" s="40"/>
      <c r="G15" s="40"/>
      <c r="H15" s="40"/>
    </row>
    <row r="16" spans="1:94" ht="26.25" hidden="1">
      <c r="A16" s="7" t="s">
        <v>18</v>
      </c>
      <c r="B16" s="45"/>
      <c r="C16" s="46"/>
      <c r="D16" s="46"/>
      <c r="E16" s="47"/>
      <c r="F16" s="40"/>
      <c r="G16" s="40"/>
      <c r="H16" s="40"/>
    </row>
    <row r="17" spans="1:94" hidden="1">
      <c r="A17" s="7" t="s">
        <v>19</v>
      </c>
      <c r="B17" s="45"/>
      <c r="C17" s="46"/>
      <c r="D17" s="46"/>
      <c r="E17" s="47"/>
      <c r="F17" s="40"/>
      <c r="G17" s="40"/>
      <c r="H17" s="40"/>
    </row>
    <row r="18" spans="1:94" ht="12" hidden="1" customHeight="1">
      <c r="A18" s="6" t="s">
        <v>20</v>
      </c>
      <c r="B18" s="45"/>
      <c r="C18" s="48"/>
      <c r="D18" s="46"/>
      <c r="E18" s="49"/>
      <c r="F18" s="40"/>
      <c r="G18" s="40"/>
      <c r="H18" s="40"/>
      <c r="CP18" s="22"/>
    </row>
    <row r="19" spans="1:94">
      <c r="A19" s="6" t="s">
        <v>21</v>
      </c>
      <c r="B19" s="45" t="s">
        <v>22</v>
      </c>
      <c r="C19" s="46"/>
      <c r="D19" s="46"/>
      <c r="E19" s="47"/>
      <c r="F19" s="40"/>
      <c r="G19" s="40"/>
      <c r="H19" s="40"/>
    </row>
    <row r="20" spans="1:94" ht="26.25">
      <c r="A20" s="8" t="s">
        <v>23</v>
      </c>
      <c r="B20" s="9" t="s">
        <v>24</v>
      </c>
      <c r="C20" s="8"/>
      <c r="D20" s="9" t="s">
        <v>25</v>
      </c>
      <c r="E20" s="8" t="s">
        <v>26</v>
      </c>
      <c r="F20" s="8" t="s">
        <v>27</v>
      </c>
      <c r="G20" s="8" t="s">
        <v>28</v>
      </c>
      <c r="H20" s="8" t="s">
        <v>29</v>
      </c>
    </row>
    <row r="21" spans="1:94">
      <c r="A21" s="5"/>
      <c r="B21" s="10" t="s">
        <v>30</v>
      </c>
      <c r="C21" s="11" t="s">
        <v>30</v>
      </c>
      <c r="D21" s="11"/>
      <c r="E21" s="6"/>
      <c r="F21" s="6"/>
      <c r="G21" s="6"/>
      <c r="H21" s="6"/>
    </row>
    <row r="22" spans="1:94">
      <c r="A22" s="5">
        <v>301</v>
      </c>
      <c r="B22" s="12" t="s">
        <v>31</v>
      </c>
      <c r="C22" s="13" t="s">
        <v>32</v>
      </c>
      <c r="D22" s="14" t="s">
        <v>33</v>
      </c>
      <c r="E22" s="15">
        <v>7.2</v>
      </c>
      <c r="F22" s="15">
        <v>8.1</v>
      </c>
      <c r="G22" s="5" t="s">
        <v>34</v>
      </c>
      <c r="H22" s="16">
        <v>444</v>
      </c>
    </row>
    <row r="23" spans="1:94">
      <c r="A23" s="5">
        <v>302</v>
      </c>
      <c r="B23" s="12" t="s">
        <v>35</v>
      </c>
      <c r="C23" s="13" t="s">
        <v>36</v>
      </c>
      <c r="D23" s="14" t="s">
        <v>37</v>
      </c>
      <c r="E23" s="15">
        <v>21.5</v>
      </c>
      <c r="F23" s="15">
        <v>24.2</v>
      </c>
      <c r="G23" s="5" t="s">
        <v>38</v>
      </c>
      <c r="H23" s="16">
        <v>149</v>
      </c>
    </row>
    <row r="24" spans="1:94">
      <c r="A24" s="5">
        <v>303</v>
      </c>
      <c r="B24" s="12" t="s">
        <v>39</v>
      </c>
      <c r="C24" s="13" t="s">
        <v>39</v>
      </c>
      <c r="D24" s="14" t="s">
        <v>40</v>
      </c>
      <c r="E24" s="15">
        <v>15.8</v>
      </c>
      <c r="F24" s="15">
        <v>15.8</v>
      </c>
      <c r="G24" s="5" t="s">
        <v>41</v>
      </c>
      <c r="H24" s="16">
        <v>228</v>
      </c>
    </row>
    <row r="25" spans="1:94">
      <c r="A25" s="5">
        <v>5</v>
      </c>
      <c r="B25" s="12" t="s">
        <v>42</v>
      </c>
      <c r="C25" s="13" t="s">
        <v>42</v>
      </c>
      <c r="D25" s="14" t="s">
        <v>43</v>
      </c>
      <c r="E25" s="15">
        <v>17</v>
      </c>
      <c r="F25" s="15">
        <v>18.8</v>
      </c>
      <c r="G25" s="5" t="s">
        <v>34</v>
      </c>
      <c r="H25" s="16">
        <v>191</v>
      </c>
    </row>
    <row r="26" spans="1:94">
      <c r="A26" s="5">
        <v>16</v>
      </c>
      <c r="B26" s="12" t="s">
        <v>44</v>
      </c>
      <c r="C26" s="13" t="s">
        <v>44</v>
      </c>
      <c r="D26" s="14" t="s">
        <v>43</v>
      </c>
      <c r="E26" s="15">
        <v>17</v>
      </c>
      <c r="F26" s="15">
        <v>18.8</v>
      </c>
      <c r="G26" s="5" t="s">
        <v>34</v>
      </c>
      <c r="H26" s="16">
        <v>191</v>
      </c>
    </row>
    <row r="27" spans="1:94">
      <c r="A27" s="5">
        <v>304</v>
      </c>
      <c r="B27" s="12" t="s">
        <v>45</v>
      </c>
      <c r="C27" s="13" t="s">
        <v>46</v>
      </c>
      <c r="D27" s="14" t="s">
        <v>33</v>
      </c>
      <c r="E27" s="15">
        <v>0.8</v>
      </c>
      <c r="F27" s="15">
        <v>0.9</v>
      </c>
      <c r="G27" s="5" t="s">
        <v>34</v>
      </c>
      <c r="H27" s="16">
        <v>4000</v>
      </c>
    </row>
    <row r="28" spans="1:94">
      <c r="A28" s="5">
        <v>305</v>
      </c>
      <c r="B28" s="12" t="s">
        <v>47</v>
      </c>
      <c r="C28" s="13" t="s">
        <v>48</v>
      </c>
      <c r="D28" s="14" t="s">
        <v>37</v>
      </c>
      <c r="E28" s="15">
        <v>2.1</v>
      </c>
      <c r="F28" s="15">
        <v>2.4</v>
      </c>
      <c r="G28" s="5" t="s">
        <v>38</v>
      </c>
      <c r="H28" s="16">
        <v>1500</v>
      </c>
    </row>
    <row r="29" spans="1:94">
      <c r="A29" s="5">
        <v>170</v>
      </c>
      <c r="B29" s="12" t="s">
        <v>49</v>
      </c>
      <c r="C29" s="13" t="s">
        <v>49</v>
      </c>
      <c r="D29" s="14" t="s">
        <v>43</v>
      </c>
      <c r="E29" s="15">
        <v>26.3</v>
      </c>
      <c r="F29" s="15">
        <v>29.1</v>
      </c>
      <c r="G29" s="5" t="s">
        <v>38</v>
      </c>
      <c r="H29" s="16">
        <v>124</v>
      </c>
    </row>
    <row r="30" spans="1:94">
      <c r="A30" s="5">
        <v>306</v>
      </c>
      <c r="B30" s="12" t="s">
        <v>50</v>
      </c>
      <c r="C30" s="13" t="s">
        <v>50</v>
      </c>
      <c r="D30" s="14" t="s">
        <v>40</v>
      </c>
      <c r="E30" s="15">
        <v>2.1</v>
      </c>
      <c r="F30" s="15">
        <v>2.1</v>
      </c>
      <c r="G30" s="5" t="s">
        <v>41</v>
      </c>
      <c r="H30" s="16">
        <v>1714</v>
      </c>
    </row>
    <row r="31" spans="1:94">
      <c r="A31" s="5">
        <v>3</v>
      </c>
      <c r="B31" s="12" t="s">
        <v>51</v>
      </c>
      <c r="C31" s="13" t="s">
        <v>51</v>
      </c>
      <c r="D31" s="14" t="s">
        <v>43</v>
      </c>
      <c r="E31" s="15">
        <v>1.8</v>
      </c>
      <c r="F31" s="15">
        <v>2</v>
      </c>
      <c r="G31" s="5" t="s">
        <v>52</v>
      </c>
      <c r="H31" s="16">
        <v>1800</v>
      </c>
    </row>
    <row r="32" spans="1:94">
      <c r="A32" s="5">
        <v>307</v>
      </c>
      <c r="B32" s="12" t="s">
        <v>53</v>
      </c>
      <c r="C32" s="13" t="s">
        <v>54</v>
      </c>
      <c r="D32" s="14" t="s">
        <v>37</v>
      </c>
      <c r="E32" s="15">
        <v>0.3</v>
      </c>
      <c r="F32" s="15">
        <v>0.3</v>
      </c>
      <c r="G32" s="5" t="s">
        <v>34</v>
      </c>
      <c r="H32" s="16">
        <v>12000</v>
      </c>
    </row>
    <row r="33" spans="1:8">
      <c r="A33" s="5">
        <v>308</v>
      </c>
      <c r="B33" s="12" t="s">
        <v>55</v>
      </c>
      <c r="C33" s="13" t="s">
        <v>55</v>
      </c>
      <c r="D33" s="14" t="s">
        <v>56</v>
      </c>
      <c r="E33" s="15">
        <v>0.5</v>
      </c>
      <c r="F33" s="15">
        <v>0.5</v>
      </c>
      <c r="G33" s="5" t="s">
        <v>41</v>
      </c>
      <c r="H33" s="16">
        <v>7200</v>
      </c>
    </row>
    <row r="34" spans="1:8">
      <c r="A34" s="5">
        <v>1</v>
      </c>
      <c r="B34" s="12" t="s">
        <v>57</v>
      </c>
      <c r="C34" s="13" t="s">
        <v>57</v>
      </c>
      <c r="D34" s="14" t="s">
        <v>43</v>
      </c>
      <c r="E34" s="15">
        <v>0.2</v>
      </c>
      <c r="F34" s="15">
        <v>0.2</v>
      </c>
      <c r="G34" s="5" t="s">
        <v>52</v>
      </c>
      <c r="H34" s="16">
        <v>18000</v>
      </c>
    </row>
    <row r="35" spans="1:8">
      <c r="A35" s="5">
        <v>13</v>
      </c>
      <c r="B35" s="12" t="s">
        <v>58</v>
      </c>
      <c r="C35" s="13" t="s">
        <v>58</v>
      </c>
      <c r="D35" s="14" t="s">
        <v>59</v>
      </c>
      <c r="E35" s="15">
        <v>14</v>
      </c>
      <c r="F35" s="15">
        <v>15.8</v>
      </c>
      <c r="G35" s="5" t="s">
        <v>34</v>
      </c>
      <c r="H35" s="16">
        <v>228</v>
      </c>
    </row>
    <row r="36" spans="1:8">
      <c r="A36" s="5">
        <v>14</v>
      </c>
      <c r="B36" s="12" t="s">
        <v>60</v>
      </c>
      <c r="C36" s="13" t="s">
        <v>60</v>
      </c>
      <c r="D36" s="14" t="s">
        <v>59</v>
      </c>
      <c r="E36" s="15">
        <v>11.3</v>
      </c>
      <c r="F36" s="15">
        <v>12.7</v>
      </c>
      <c r="G36" s="5" t="s">
        <v>34</v>
      </c>
      <c r="H36" s="16">
        <v>283</v>
      </c>
    </row>
    <row r="37" spans="1:8">
      <c r="A37" s="5">
        <v>54</v>
      </c>
      <c r="B37" s="12" t="s">
        <v>61</v>
      </c>
      <c r="C37" s="13" t="s">
        <v>61</v>
      </c>
      <c r="D37" s="14" t="s">
        <v>62</v>
      </c>
      <c r="E37" s="15">
        <v>21.2</v>
      </c>
      <c r="F37" s="15">
        <v>21.2</v>
      </c>
      <c r="G37" s="5" t="s">
        <v>38</v>
      </c>
      <c r="H37" s="16">
        <v>170</v>
      </c>
    </row>
    <row r="38" spans="1:8">
      <c r="A38" s="5">
        <v>15</v>
      </c>
      <c r="B38" s="12" t="s">
        <v>63</v>
      </c>
      <c r="C38" s="13" t="s">
        <v>63</v>
      </c>
      <c r="D38" s="14" t="s">
        <v>62</v>
      </c>
      <c r="E38" s="15">
        <v>19.7</v>
      </c>
      <c r="F38" s="15">
        <v>19.7</v>
      </c>
      <c r="G38" s="5" t="s">
        <v>38</v>
      </c>
      <c r="H38" s="16">
        <v>183</v>
      </c>
    </row>
    <row r="39" spans="1:8">
      <c r="A39" s="5">
        <v>11</v>
      </c>
      <c r="B39" s="12" t="s">
        <v>64</v>
      </c>
      <c r="C39" s="13"/>
      <c r="D39" s="14"/>
      <c r="E39" s="15"/>
      <c r="F39" s="15"/>
      <c r="G39" s="5"/>
      <c r="H39" s="16"/>
    </row>
    <row r="40" spans="1:8" ht="15" customHeight="1">
      <c r="A40" s="5"/>
      <c r="B40" s="10" t="s">
        <v>65</v>
      </c>
      <c r="C40" s="11" t="s">
        <v>65</v>
      </c>
      <c r="D40" s="11"/>
      <c r="E40" s="6"/>
      <c r="F40" s="6"/>
      <c r="G40" s="6"/>
      <c r="H40" s="6"/>
    </row>
    <row r="41" spans="1:8" ht="15" customHeight="1">
      <c r="A41" s="5">
        <v>21</v>
      </c>
      <c r="B41" s="12" t="s">
        <v>66</v>
      </c>
      <c r="C41" s="13" t="s">
        <v>66</v>
      </c>
      <c r="D41" s="14" t="s">
        <v>43</v>
      </c>
      <c r="E41" s="15">
        <v>4</v>
      </c>
      <c r="F41" s="15">
        <v>4.4000000000000004</v>
      </c>
      <c r="G41" s="5" t="s">
        <v>52</v>
      </c>
      <c r="H41" s="16">
        <v>818</v>
      </c>
    </row>
    <row r="42" spans="1:8" ht="15" customHeight="1">
      <c r="A42" s="5">
        <v>22</v>
      </c>
      <c r="B42" s="12" t="s">
        <v>67</v>
      </c>
      <c r="C42" s="13" t="s">
        <v>67</v>
      </c>
      <c r="D42" s="14" t="s">
        <v>68</v>
      </c>
      <c r="E42" s="15">
        <v>20.6</v>
      </c>
      <c r="F42" s="15">
        <v>24</v>
      </c>
      <c r="G42" s="5" t="s">
        <v>69</v>
      </c>
      <c r="H42" s="16">
        <v>150</v>
      </c>
    </row>
    <row r="43" spans="1:8" ht="15" customHeight="1">
      <c r="A43" s="5">
        <v>23</v>
      </c>
      <c r="B43" s="12" t="s">
        <v>70</v>
      </c>
      <c r="C43" s="13" t="s">
        <v>71</v>
      </c>
      <c r="D43" s="14" t="s">
        <v>59</v>
      </c>
      <c r="E43" s="15">
        <v>12.4</v>
      </c>
      <c r="F43" s="15">
        <v>13.9</v>
      </c>
      <c r="G43" s="5" t="s">
        <v>72</v>
      </c>
      <c r="H43" s="16">
        <v>259</v>
      </c>
    </row>
    <row r="44" spans="1:8" ht="15" customHeight="1">
      <c r="A44" s="5">
        <v>24</v>
      </c>
      <c r="B44" s="12" t="s">
        <v>73</v>
      </c>
      <c r="C44" s="13" t="s">
        <v>74</v>
      </c>
      <c r="D44" s="14" t="s">
        <v>75</v>
      </c>
      <c r="E44" s="15">
        <v>15</v>
      </c>
      <c r="F44" s="15">
        <v>16.899999999999999</v>
      </c>
      <c r="G44" s="5" t="s">
        <v>76</v>
      </c>
      <c r="H44" s="16">
        <v>213</v>
      </c>
    </row>
    <row r="45" spans="1:8" ht="15" customHeight="1">
      <c r="A45" s="5">
        <v>25</v>
      </c>
      <c r="B45" s="12" t="s">
        <v>77</v>
      </c>
      <c r="C45" s="13" t="s">
        <v>77</v>
      </c>
      <c r="D45" s="14" t="s">
        <v>68</v>
      </c>
      <c r="E45" s="15">
        <v>8.1</v>
      </c>
      <c r="F45" s="15">
        <v>8.9</v>
      </c>
      <c r="G45" s="5" t="s">
        <v>78</v>
      </c>
      <c r="H45" s="16">
        <v>404</v>
      </c>
    </row>
    <row r="46" spans="1:8" ht="15" customHeight="1">
      <c r="A46" s="5">
        <v>26</v>
      </c>
      <c r="B46" s="12" t="s">
        <v>79</v>
      </c>
      <c r="C46" s="13" t="s">
        <v>80</v>
      </c>
      <c r="D46" s="14" t="s">
        <v>68</v>
      </c>
      <c r="E46" s="15">
        <v>37.1</v>
      </c>
      <c r="F46" s="15">
        <v>43.6</v>
      </c>
      <c r="G46" s="5" t="s">
        <v>76</v>
      </c>
      <c r="H46" s="16">
        <v>83</v>
      </c>
    </row>
    <row r="47" spans="1:8" ht="15" customHeight="1">
      <c r="A47" s="5">
        <v>28</v>
      </c>
      <c r="B47" s="12" t="s">
        <v>81</v>
      </c>
      <c r="C47" s="13" t="s">
        <v>82</v>
      </c>
      <c r="D47" s="14" t="s">
        <v>68</v>
      </c>
      <c r="E47" s="15">
        <v>49.3</v>
      </c>
      <c r="F47" s="15">
        <v>57.5</v>
      </c>
      <c r="G47" s="5" t="s">
        <v>83</v>
      </c>
      <c r="H47" s="16">
        <v>63</v>
      </c>
    </row>
    <row r="48" spans="1:8" ht="15" customHeight="1">
      <c r="A48" s="5">
        <v>34</v>
      </c>
      <c r="B48" s="12" t="s">
        <v>84</v>
      </c>
      <c r="C48" s="13" t="s">
        <v>84</v>
      </c>
      <c r="D48" s="14" t="s">
        <v>85</v>
      </c>
      <c r="E48" s="15">
        <v>18.3</v>
      </c>
      <c r="F48" s="15">
        <v>20.3</v>
      </c>
      <c r="G48" s="5" t="s">
        <v>86</v>
      </c>
      <c r="H48" s="16">
        <v>177</v>
      </c>
    </row>
    <row r="49" spans="1:9" ht="15" customHeight="1">
      <c r="A49" s="5">
        <v>30</v>
      </c>
      <c r="B49" s="12" t="s">
        <v>87</v>
      </c>
      <c r="C49" s="13" t="s">
        <v>87</v>
      </c>
      <c r="D49" s="14" t="s">
        <v>68</v>
      </c>
      <c r="E49" s="15">
        <v>33.9</v>
      </c>
      <c r="F49" s="15">
        <v>37.9</v>
      </c>
      <c r="G49" s="5" t="s">
        <v>83</v>
      </c>
      <c r="H49" s="16">
        <v>95</v>
      </c>
    </row>
    <row r="50" spans="1:9" ht="15" customHeight="1">
      <c r="A50" s="5">
        <v>69</v>
      </c>
      <c r="B50" s="12" t="s">
        <v>88</v>
      </c>
      <c r="C50" s="17" t="s">
        <v>88</v>
      </c>
      <c r="D50" s="17" t="s">
        <v>59</v>
      </c>
      <c r="E50" s="5">
        <v>11.3</v>
      </c>
      <c r="F50" s="5">
        <v>12.7</v>
      </c>
      <c r="G50" s="5" t="s">
        <v>41</v>
      </c>
      <c r="H50" s="5">
        <v>283</v>
      </c>
    </row>
    <row r="51" spans="1:9" ht="15" customHeight="1">
      <c r="A51" s="5"/>
      <c r="B51" s="10" t="s">
        <v>89</v>
      </c>
      <c r="C51" s="13" t="s">
        <v>89</v>
      </c>
      <c r="D51" s="14"/>
      <c r="E51" s="15"/>
      <c r="F51" s="15"/>
      <c r="G51" s="5"/>
      <c r="H51" s="16"/>
    </row>
    <row r="52" spans="1:9" ht="15" customHeight="1">
      <c r="A52" s="5">
        <v>31</v>
      </c>
      <c r="B52" s="12" t="s">
        <v>90</v>
      </c>
      <c r="C52" s="13" t="s">
        <v>91</v>
      </c>
      <c r="D52" s="14" t="s">
        <v>92</v>
      </c>
      <c r="E52" s="15">
        <v>9.5</v>
      </c>
      <c r="F52" s="15">
        <v>11</v>
      </c>
      <c r="G52" s="5" t="s">
        <v>38</v>
      </c>
      <c r="H52" s="16">
        <v>327</v>
      </c>
    </row>
    <row r="53" spans="1:9" ht="15" customHeight="1">
      <c r="A53" s="5">
        <v>32</v>
      </c>
      <c r="B53" s="12" t="s">
        <v>93</v>
      </c>
      <c r="C53" s="13" t="s">
        <v>93</v>
      </c>
      <c r="D53" s="14" t="s">
        <v>92</v>
      </c>
      <c r="E53" s="15">
        <v>14.2</v>
      </c>
      <c r="F53" s="15">
        <v>15.7</v>
      </c>
      <c r="G53" s="5" t="s">
        <v>86</v>
      </c>
      <c r="H53" s="16">
        <v>229</v>
      </c>
    </row>
    <row r="54" spans="1:9" ht="15" customHeight="1">
      <c r="A54" s="5">
        <v>36</v>
      </c>
      <c r="B54" s="12" t="s">
        <v>94</v>
      </c>
      <c r="C54" s="13" t="s">
        <v>94</v>
      </c>
      <c r="D54" s="14" t="s">
        <v>75</v>
      </c>
      <c r="E54" s="15">
        <v>35.700000000000003</v>
      </c>
      <c r="F54" s="15">
        <v>43.9</v>
      </c>
      <c r="G54" s="5" t="s">
        <v>83</v>
      </c>
      <c r="H54" s="16">
        <v>82</v>
      </c>
    </row>
    <row r="55" spans="1:9" ht="15" customHeight="1">
      <c r="A55" s="5">
        <v>37</v>
      </c>
      <c r="B55" s="12" t="s">
        <v>95</v>
      </c>
      <c r="C55" s="13" t="s">
        <v>95</v>
      </c>
      <c r="D55" s="14" t="s">
        <v>75</v>
      </c>
      <c r="E55" s="15">
        <v>40.700000000000003</v>
      </c>
      <c r="F55" s="15">
        <v>50.1</v>
      </c>
      <c r="G55" s="5" t="s">
        <v>83</v>
      </c>
      <c r="H55" s="16">
        <v>72</v>
      </c>
    </row>
    <row r="56" spans="1:9" ht="15" customHeight="1">
      <c r="A56" s="5">
        <v>38</v>
      </c>
      <c r="B56" s="12" t="s">
        <v>96</v>
      </c>
      <c r="C56" s="13" t="s">
        <v>96</v>
      </c>
      <c r="D56" s="14" t="s">
        <v>97</v>
      </c>
      <c r="E56" s="15">
        <v>25.4</v>
      </c>
      <c r="F56" s="15">
        <v>31.6</v>
      </c>
      <c r="G56" s="5" t="s">
        <v>83</v>
      </c>
      <c r="H56" s="16">
        <v>114</v>
      </c>
    </row>
    <row r="57" spans="1:9" ht="15" customHeight="1">
      <c r="A57" s="5">
        <v>39</v>
      </c>
      <c r="B57" s="12" t="s">
        <v>98</v>
      </c>
      <c r="C57" s="13" t="s">
        <v>98</v>
      </c>
      <c r="D57" s="14" t="s">
        <v>75</v>
      </c>
      <c r="E57" s="15">
        <v>28.9</v>
      </c>
      <c r="F57" s="15">
        <v>35.5</v>
      </c>
      <c r="G57" s="5" t="s">
        <v>83</v>
      </c>
      <c r="H57" s="16">
        <v>101</v>
      </c>
    </row>
    <row r="58" spans="1:9" ht="15" customHeight="1">
      <c r="A58" s="5">
        <v>41</v>
      </c>
      <c r="B58" s="12" t="s">
        <v>99</v>
      </c>
      <c r="C58" s="13" t="s">
        <v>99</v>
      </c>
      <c r="D58" s="14" t="s">
        <v>68</v>
      </c>
      <c r="E58" s="15">
        <v>16</v>
      </c>
      <c r="F58" s="15">
        <v>18.600000000000001</v>
      </c>
      <c r="G58" s="5" t="s">
        <v>76</v>
      </c>
      <c r="H58" s="16">
        <v>194</v>
      </c>
    </row>
    <row r="59" spans="1:9" ht="15" customHeight="1">
      <c r="A59" s="5">
        <v>42</v>
      </c>
      <c r="B59" s="12" t="s">
        <v>100</v>
      </c>
      <c r="C59" s="13" t="s">
        <v>101</v>
      </c>
      <c r="D59" s="14" t="s">
        <v>68</v>
      </c>
      <c r="E59" s="15">
        <v>21.4</v>
      </c>
      <c r="F59" s="15">
        <v>26.6</v>
      </c>
      <c r="G59" s="5" t="s">
        <v>76</v>
      </c>
      <c r="H59" s="16">
        <v>135</v>
      </c>
    </row>
    <row r="60" spans="1:9" ht="15" customHeight="1">
      <c r="A60" s="5">
        <v>43</v>
      </c>
      <c r="B60" s="12" t="s">
        <v>102</v>
      </c>
      <c r="C60" s="13" t="s">
        <v>102</v>
      </c>
      <c r="D60" s="14" t="s">
        <v>59</v>
      </c>
      <c r="E60" s="15">
        <v>25.6</v>
      </c>
      <c r="F60" s="15">
        <v>28.8</v>
      </c>
      <c r="G60" s="5" t="s">
        <v>78</v>
      </c>
      <c r="H60" s="16">
        <v>125</v>
      </c>
    </row>
    <row r="61" spans="1:9" ht="15" customHeight="1">
      <c r="A61" s="5">
        <v>44</v>
      </c>
      <c r="B61" s="12" t="s">
        <v>103</v>
      </c>
      <c r="C61" s="13" t="s">
        <v>104</v>
      </c>
      <c r="D61" s="14" t="s">
        <v>97</v>
      </c>
      <c r="E61" s="15">
        <v>21.7</v>
      </c>
      <c r="F61" s="15">
        <v>27</v>
      </c>
      <c r="G61" s="5" t="s">
        <v>105</v>
      </c>
      <c r="H61" s="16">
        <v>134</v>
      </c>
    </row>
    <row r="62" spans="1:9" ht="15" customHeight="1">
      <c r="A62" s="5">
        <v>90</v>
      </c>
      <c r="B62" s="12" t="s">
        <v>106</v>
      </c>
      <c r="C62" s="13" t="s">
        <v>106</v>
      </c>
      <c r="D62" s="14" t="s">
        <v>43</v>
      </c>
      <c r="E62" s="15">
        <v>28.9</v>
      </c>
      <c r="F62" s="15">
        <v>32</v>
      </c>
      <c r="G62" s="5" t="s">
        <v>52</v>
      </c>
      <c r="H62" s="16">
        <v>113</v>
      </c>
    </row>
    <row r="63" spans="1:9" ht="15" customHeight="1">
      <c r="A63" s="5"/>
      <c r="B63" s="10" t="s">
        <v>107</v>
      </c>
      <c r="C63" s="13" t="s">
        <v>107</v>
      </c>
      <c r="D63" s="14"/>
      <c r="E63" s="15"/>
      <c r="F63" s="15"/>
      <c r="G63" s="5"/>
      <c r="H63" s="16"/>
    </row>
    <row r="64" spans="1:9" s="2" customFormat="1" ht="15" customHeight="1">
      <c r="A64" s="18">
        <v>45</v>
      </c>
      <c r="B64" s="19" t="s">
        <v>108</v>
      </c>
      <c r="C64" s="20" t="s">
        <v>109</v>
      </c>
      <c r="D64" s="20" t="s">
        <v>68</v>
      </c>
      <c r="E64" s="18">
        <v>35.9</v>
      </c>
      <c r="F64" s="21">
        <v>44.3</v>
      </c>
      <c r="G64" s="18" t="s">
        <v>83</v>
      </c>
      <c r="H64" s="18">
        <v>81</v>
      </c>
      <c r="I64" s="2" t="s">
        <v>110</v>
      </c>
    </row>
    <row r="65" spans="1:9" s="2" customFormat="1" ht="15" customHeight="1">
      <c r="A65" s="18">
        <v>46</v>
      </c>
      <c r="B65" s="19" t="s">
        <v>111</v>
      </c>
      <c r="C65" s="23" t="s">
        <v>112</v>
      </c>
      <c r="D65" s="19" t="s">
        <v>68</v>
      </c>
      <c r="E65" s="21">
        <v>27.4</v>
      </c>
      <c r="F65" s="21">
        <v>32.1</v>
      </c>
      <c r="G65" s="18" t="s">
        <v>83</v>
      </c>
      <c r="H65" s="24">
        <v>112</v>
      </c>
      <c r="I65" s="2" t="s">
        <v>110</v>
      </c>
    </row>
    <row r="66" spans="1:9" s="2" customFormat="1" ht="15" customHeight="1">
      <c r="A66" s="53">
        <v>47</v>
      </c>
      <c r="B66" s="56" t="s">
        <v>113</v>
      </c>
      <c r="C66" s="23" t="s">
        <v>114</v>
      </c>
      <c r="D66" s="19" t="s">
        <v>68</v>
      </c>
      <c r="E66" s="21">
        <v>28.2</v>
      </c>
      <c r="F66" s="21">
        <v>33.1</v>
      </c>
      <c r="G66" s="18" t="s">
        <v>83</v>
      </c>
      <c r="H66" s="24">
        <v>109</v>
      </c>
      <c r="I66" s="2" t="s">
        <v>110</v>
      </c>
    </row>
    <row r="67" spans="1:9" s="2" customFormat="1" ht="15" customHeight="1">
      <c r="A67" s="54"/>
      <c r="B67" s="57"/>
      <c r="C67" s="23" t="s">
        <v>115</v>
      </c>
      <c r="D67" s="19" t="s">
        <v>68</v>
      </c>
      <c r="E67" s="21">
        <v>27.8</v>
      </c>
      <c r="F67" s="21">
        <v>34.4</v>
      </c>
      <c r="G67" s="18" t="s">
        <v>76</v>
      </c>
      <c r="H67" s="24">
        <v>105</v>
      </c>
      <c r="I67" s="2" t="s">
        <v>110</v>
      </c>
    </row>
    <row r="68" spans="1:9" s="2" customFormat="1" ht="15" customHeight="1">
      <c r="A68" s="55"/>
      <c r="B68" s="58"/>
      <c r="C68" s="23" t="s">
        <v>116</v>
      </c>
      <c r="D68" s="19" t="s">
        <v>68</v>
      </c>
      <c r="E68" s="21">
        <v>34</v>
      </c>
      <c r="F68" s="21">
        <v>40</v>
      </c>
      <c r="G68" s="18" t="s">
        <v>105</v>
      </c>
      <c r="H68" s="24">
        <v>90</v>
      </c>
      <c r="I68" s="2" t="s">
        <v>110</v>
      </c>
    </row>
    <row r="69" spans="1:9" s="2" customFormat="1" ht="15" customHeight="1">
      <c r="A69" s="25">
        <v>86</v>
      </c>
      <c r="B69" s="26" t="s">
        <v>117</v>
      </c>
      <c r="C69" s="23"/>
      <c r="D69" s="19"/>
      <c r="E69" s="21"/>
      <c r="F69" s="21"/>
      <c r="G69" s="18"/>
      <c r="H69" s="24"/>
    </row>
    <row r="70" spans="1:9" ht="15" customHeight="1">
      <c r="A70" s="5">
        <v>48</v>
      </c>
      <c r="B70" s="12" t="s">
        <v>118</v>
      </c>
      <c r="C70" s="13" t="s">
        <v>118</v>
      </c>
      <c r="D70" s="14" t="s">
        <v>75</v>
      </c>
      <c r="E70" s="15">
        <v>17.8</v>
      </c>
      <c r="F70" s="15">
        <v>20.8</v>
      </c>
      <c r="G70" s="5" t="s">
        <v>76</v>
      </c>
      <c r="H70" s="16">
        <v>173</v>
      </c>
    </row>
    <row r="71" spans="1:9" ht="15" customHeight="1">
      <c r="A71" s="5">
        <v>49</v>
      </c>
      <c r="B71" s="12" t="s">
        <v>119</v>
      </c>
      <c r="C71" s="13" t="s">
        <v>119</v>
      </c>
      <c r="D71" s="14" t="s">
        <v>59</v>
      </c>
      <c r="E71" s="15">
        <v>14</v>
      </c>
      <c r="F71" s="15">
        <v>17.3</v>
      </c>
      <c r="G71" s="5" t="s">
        <v>78</v>
      </c>
      <c r="H71" s="16">
        <v>208</v>
      </c>
    </row>
    <row r="72" spans="1:9" ht="15" customHeight="1">
      <c r="A72" s="5">
        <v>51</v>
      </c>
      <c r="B72" s="12" t="s">
        <v>120</v>
      </c>
      <c r="C72" s="13" t="s">
        <v>120</v>
      </c>
      <c r="D72" s="14" t="s">
        <v>68</v>
      </c>
      <c r="E72" s="15">
        <v>16.8</v>
      </c>
      <c r="F72" s="15">
        <v>19.399999999999999</v>
      </c>
      <c r="G72" s="5" t="s">
        <v>41</v>
      </c>
      <c r="H72" s="16">
        <v>185</v>
      </c>
    </row>
    <row r="73" spans="1:9" ht="15" customHeight="1">
      <c r="A73" s="5"/>
      <c r="B73" s="10" t="s">
        <v>121</v>
      </c>
      <c r="C73" s="13" t="s">
        <v>121</v>
      </c>
      <c r="D73" s="14"/>
      <c r="E73" s="15"/>
      <c r="F73" s="15"/>
      <c r="G73" s="5"/>
      <c r="H73" s="16"/>
    </row>
    <row r="74" spans="1:9" ht="15" customHeight="1">
      <c r="A74" s="5">
        <v>27</v>
      </c>
      <c r="B74" s="12" t="s">
        <v>122</v>
      </c>
      <c r="C74" s="13" t="s">
        <v>123</v>
      </c>
      <c r="D74" s="14" t="s">
        <v>43</v>
      </c>
      <c r="E74" s="15">
        <v>36</v>
      </c>
      <c r="F74" s="15">
        <v>39.799999999999997</v>
      </c>
      <c r="G74" s="5" t="s">
        <v>124</v>
      </c>
      <c r="H74" s="16">
        <v>90</v>
      </c>
    </row>
    <row r="75" spans="1:9" ht="15" customHeight="1">
      <c r="A75" s="5">
        <v>52</v>
      </c>
      <c r="B75" s="12" t="s">
        <v>125</v>
      </c>
      <c r="C75" s="13" t="s">
        <v>125</v>
      </c>
      <c r="D75" s="14" t="s">
        <v>75</v>
      </c>
      <c r="E75" s="15">
        <v>54.9</v>
      </c>
      <c r="F75" s="15">
        <v>64.400000000000006</v>
      </c>
      <c r="G75" s="5" t="s">
        <v>83</v>
      </c>
      <c r="H75" s="16">
        <v>56</v>
      </c>
    </row>
    <row r="76" spans="1:9" ht="15" customHeight="1">
      <c r="A76" s="5">
        <v>55</v>
      </c>
      <c r="B76" s="12" t="s">
        <v>126</v>
      </c>
      <c r="C76" s="13" t="s">
        <v>127</v>
      </c>
      <c r="D76" s="14" t="s">
        <v>75</v>
      </c>
      <c r="E76" s="15">
        <v>44.2</v>
      </c>
      <c r="F76" s="15">
        <v>49.7</v>
      </c>
      <c r="G76" s="5" t="s">
        <v>83</v>
      </c>
      <c r="H76" s="16">
        <v>72</v>
      </c>
    </row>
    <row r="77" spans="1:9" ht="15" customHeight="1">
      <c r="A77" s="5">
        <v>56</v>
      </c>
      <c r="B77" s="12" t="s">
        <v>128</v>
      </c>
      <c r="C77" s="13" t="s">
        <v>128</v>
      </c>
      <c r="D77" s="14" t="s">
        <v>75</v>
      </c>
      <c r="E77" s="15">
        <v>29.9</v>
      </c>
      <c r="F77" s="15">
        <v>35</v>
      </c>
      <c r="G77" s="5" t="s">
        <v>105</v>
      </c>
      <c r="H77" s="16">
        <v>103</v>
      </c>
    </row>
    <row r="78" spans="1:9" ht="15" customHeight="1">
      <c r="A78" s="5">
        <v>57</v>
      </c>
      <c r="B78" s="12" t="s">
        <v>129</v>
      </c>
      <c r="C78" s="13" t="s">
        <v>130</v>
      </c>
      <c r="D78" s="14" t="s">
        <v>68</v>
      </c>
      <c r="E78" s="15">
        <v>12.8</v>
      </c>
      <c r="F78" s="15">
        <v>14.2</v>
      </c>
      <c r="G78" s="5" t="s">
        <v>76</v>
      </c>
      <c r="H78" s="16">
        <v>254</v>
      </c>
    </row>
    <row r="79" spans="1:9" ht="15" customHeight="1">
      <c r="A79" s="5">
        <v>58</v>
      </c>
      <c r="B79" s="12" t="s">
        <v>131</v>
      </c>
      <c r="C79" s="13" t="s">
        <v>132</v>
      </c>
      <c r="D79" s="14" t="s">
        <v>75</v>
      </c>
      <c r="E79" s="15">
        <v>35.299999999999997</v>
      </c>
      <c r="F79" s="15">
        <v>43.3</v>
      </c>
      <c r="G79" s="5" t="s">
        <v>133</v>
      </c>
      <c r="H79" s="16">
        <v>83</v>
      </c>
    </row>
    <row r="80" spans="1:9" ht="15" customHeight="1">
      <c r="A80" s="5">
        <v>59</v>
      </c>
      <c r="B80" s="12" t="s">
        <v>134</v>
      </c>
      <c r="C80" s="13" t="s">
        <v>134</v>
      </c>
      <c r="D80" s="14" t="s">
        <v>68</v>
      </c>
      <c r="E80" s="15">
        <v>20</v>
      </c>
      <c r="F80" s="15">
        <v>25.1</v>
      </c>
      <c r="G80" s="5" t="s">
        <v>83</v>
      </c>
      <c r="H80" s="16">
        <v>144</v>
      </c>
    </row>
    <row r="81" spans="1:8" s="3" customFormat="1" ht="15" customHeight="1">
      <c r="A81" s="27">
        <v>60</v>
      </c>
      <c r="B81" s="28" t="s">
        <v>135</v>
      </c>
      <c r="C81" s="29" t="s">
        <v>136</v>
      </c>
      <c r="D81" s="28" t="s">
        <v>68</v>
      </c>
      <c r="E81" s="30">
        <v>40.700000000000003</v>
      </c>
      <c r="F81" s="30">
        <v>50.7</v>
      </c>
      <c r="G81" s="27" t="s">
        <v>137</v>
      </c>
      <c r="H81" s="31">
        <v>71</v>
      </c>
    </row>
    <row r="82" spans="1:8" s="3" customFormat="1" ht="15" customHeight="1">
      <c r="A82" s="27">
        <v>70</v>
      </c>
      <c r="B82" s="28" t="s">
        <v>138</v>
      </c>
      <c r="C82" s="29" t="s">
        <v>139</v>
      </c>
      <c r="D82" s="28" t="s">
        <v>43</v>
      </c>
      <c r="E82" s="30">
        <v>0.9</v>
      </c>
      <c r="F82" s="30">
        <v>1</v>
      </c>
      <c r="G82" s="27" t="s">
        <v>52</v>
      </c>
      <c r="H82" s="31">
        <v>3600</v>
      </c>
    </row>
    <row r="83" spans="1:8" ht="15" customHeight="1">
      <c r="A83" s="5">
        <v>61</v>
      </c>
      <c r="B83" s="12" t="s">
        <v>140</v>
      </c>
      <c r="C83" s="13" t="s">
        <v>141</v>
      </c>
      <c r="D83" s="14" t="s">
        <v>43</v>
      </c>
      <c r="E83" s="15">
        <v>7</v>
      </c>
      <c r="F83" s="15">
        <v>7.7</v>
      </c>
      <c r="G83" s="5" t="s">
        <v>52</v>
      </c>
      <c r="H83" s="16">
        <v>468</v>
      </c>
    </row>
    <row r="84" spans="1:8" ht="15" customHeight="1">
      <c r="A84" s="5">
        <v>62</v>
      </c>
      <c r="B84" s="12" t="s">
        <v>142</v>
      </c>
      <c r="C84" s="13" t="s">
        <v>142</v>
      </c>
      <c r="D84" s="14" t="s">
        <v>68</v>
      </c>
      <c r="E84" s="15">
        <v>16.7</v>
      </c>
      <c r="F84" s="15">
        <v>18.5</v>
      </c>
      <c r="G84" s="5" t="s">
        <v>105</v>
      </c>
      <c r="H84" s="16">
        <v>195</v>
      </c>
    </row>
    <row r="85" spans="1:8" ht="15" customHeight="1">
      <c r="A85" s="5">
        <v>63</v>
      </c>
      <c r="B85" s="12" t="s">
        <v>143</v>
      </c>
      <c r="C85" s="17" t="s">
        <v>144</v>
      </c>
      <c r="D85" s="17" t="s">
        <v>75</v>
      </c>
      <c r="E85" s="5">
        <v>39</v>
      </c>
      <c r="F85" s="5">
        <v>49.3</v>
      </c>
      <c r="G85" s="5" t="s">
        <v>105</v>
      </c>
      <c r="H85" s="5">
        <v>73</v>
      </c>
    </row>
    <row r="86" spans="1:8" ht="15" customHeight="1">
      <c r="A86" s="5">
        <v>64</v>
      </c>
      <c r="B86" s="12" t="s">
        <v>145</v>
      </c>
      <c r="C86" s="17" t="s">
        <v>145</v>
      </c>
      <c r="D86" s="17" t="s">
        <v>75</v>
      </c>
      <c r="E86" s="5">
        <v>20.3</v>
      </c>
      <c r="F86" s="5">
        <v>22.8</v>
      </c>
      <c r="G86" s="5" t="s">
        <v>72</v>
      </c>
      <c r="H86" s="5">
        <v>158</v>
      </c>
    </row>
    <row r="87" spans="1:8" ht="15" customHeight="1">
      <c r="A87" s="5">
        <v>65</v>
      </c>
      <c r="B87" s="32" t="s">
        <v>146</v>
      </c>
      <c r="C87" s="17" t="s">
        <v>147</v>
      </c>
      <c r="D87" s="17" t="s">
        <v>59</v>
      </c>
      <c r="E87" s="5">
        <v>22.3</v>
      </c>
      <c r="F87" s="5">
        <v>25.1</v>
      </c>
      <c r="G87" s="5" t="s">
        <v>72</v>
      </c>
      <c r="H87" s="5">
        <v>143</v>
      </c>
    </row>
    <row r="88" spans="1:8" ht="15" customHeight="1">
      <c r="A88" s="5">
        <v>66</v>
      </c>
      <c r="B88" s="32" t="s">
        <v>148</v>
      </c>
      <c r="C88" s="17" t="s">
        <v>148</v>
      </c>
      <c r="D88" s="17" t="s">
        <v>59</v>
      </c>
      <c r="E88" s="5">
        <v>10.3</v>
      </c>
      <c r="F88" s="5">
        <v>11.5</v>
      </c>
      <c r="G88" s="5" t="s">
        <v>72</v>
      </c>
      <c r="H88" s="5">
        <v>313</v>
      </c>
    </row>
    <row r="89" spans="1:8" ht="15" customHeight="1">
      <c r="A89" s="5">
        <v>67</v>
      </c>
      <c r="B89" s="12" t="s">
        <v>149</v>
      </c>
      <c r="C89" s="17" t="s">
        <v>149</v>
      </c>
      <c r="D89" s="17" t="s">
        <v>150</v>
      </c>
      <c r="E89" s="5">
        <v>99.6</v>
      </c>
      <c r="F89" s="5">
        <v>133.5</v>
      </c>
      <c r="G89" s="5" t="s">
        <v>83</v>
      </c>
      <c r="H89" s="5">
        <v>27</v>
      </c>
    </row>
    <row r="90" spans="1:8" ht="15" customHeight="1">
      <c r="A90" s="5">
        <v>85</v>
      </c>
      <c r="B90" s="12" t="s">
        <v>151</v>
      </c>
      <c r="C90" s="17" t="s">
        <v>152</v>
      </c>
      <c r="D90" s="17" t="s">
        <v>68</v>
      </c>
      <c r="E90" s="5">
        <v>8.3000000000000007</v>
      </c>
      <c r="F90" s="5">
        <v>9.4</v>
      </c>
      <c r="G90" s="5" t="s">
        <v>83</v>
      </c>
      <c r="H90" s="5">
        <v>383</v>
      </c>
    </row>
    <row r="91" spans="1:8" ht="15" customHeight="1">
      <c r="A91" s="5">
        <v>68</v>
      </c>
      <c r="B91" s="12" t="s">
        <v>153</v>
      </c>
      <c r="C91" s="17" t="s">
        <v>153</v>
      </c>
      <c r="D91" s="17" t="s">
        <v>68</v>
      </c>
      <c r="E91" s="5">
        <v>41</v>
      </c>
      <c r="F91" s="5">
        <v>51.3</v>
      </c>
      <c r="G91" s="5" t="s">
        <v>133</v>
      </c>
      <c r="H91" s="5">
        <v>70</v>
      </c>
    </row>
    <row r="92" spans="1:8" ht="15" customHeight="1">
      <c r="A92" s="5">
        <v>120</v>
      </c>
      <c r="B92" s="12" t="s">
        <v>154</v>
      </c>
      <c r="C92" s="17" t="s">
        <v>155</v>
      </c>
      <c r="D92" s="17" t="s">
        <v>156</v>
      </c>
      <c r="E92" s="5">
        <v>45</v>
      </c>
      <c r="F92" s="5">
        <v>49.7</v>
      </c>
      <c r="G92" s="5" t="s">
        <v>124</v>
      </c>
      <c r="H92" s="5">
        <v>72</v>
      </c>
    </row>
    <row r="93" spans="1:8" ht="15" customHeight="1">
      <c r="A93" s="5"/>
      <c r="B93" s="33" t="s">
        <v>157</v>
      </c>
      <c r="C93" s="17" t="s">
        <v>157</v>
      </c>
      <c r="D93" s="17"/>
      <c r="E93" s="5"/>
      <c r="F93" s="5"/>
      <c r="G93" s="5"/>
      <c r="H93" s="5"/>
    </row>
    <row r="94" spans="1:8" ht="15" customHeight="1">
      <c r="A94" s="5">
        <v>35</v>
      </c>
      <c r="B94" s="33" t="s">
        <v>158</v>
      </c>
      <c r="C94" s="17" t="s">
        <v>158</v>
      </c>
      <c r="D94" s="17" t="s">
        <v>85</v>
      </c>
      <c r="E94" s="5">
        <v>19.100000000000001</v>
      </c>
      <c r="F94" s="5">
        <v>21.2</v>
      </c>
      <c r="G94" s="5" t="s">
        <v>86</v>
      </c>
      <c r="H94" s="5">
        <v>170</v>
      </c>
    </row>
    <row r="95" spans="1:8" ht="15" customHeight="1">
      <c r="A95" s="5">
        <v>33</v>
      </c>
      <c r="B95" s="33" t="s">
        <v>159</v>
      </c>
      <c r="C95" s="17" t="s">
        <v>159</v>
      </c>
      <c r="D95" s="17" t="s">
        <v>85</v>
      </c>
      <c r="E95" s="5">
        <v>6.6</v>
      </c>
      <c r="F95" s="5">
        <v>7.3</v>
      </c>
      <c r="G95" s="5" t="s">
        <v>86</v>
      </c>
      <c r="H95" s="5">
        <v>493</v>
      </c>
    </row>
    <row r="96" spans="1:8">
      <c r="A96" s="5"/>
      <c r="B96" s="10" t="s">
        <v>160</v>
      </c>
      <c r="C96" s="11" t="s">
        <v>160</v>
      </c>
      <c r="D96" s="11"/>
      <c r="E96" s="11"/>
      <c r="F96" s="11"/>
      <c r="G96" s="11"/>
      <c r="H96" s="11"/>
    </row>
    <row r="97" spans="1:8">
      <c r="A97" s="5">
        <v>126</v>
      </c>
      <c r="B97" s="33" t="s">
        <v>161</v>
      </c>
      <c r="C97" s="17"/>
      <c r="D97" s="17"/>
      <c r="E97" s="17"/>
      <c r="F97" s="17"/>
      <c r="G97" s="17"/>
      <c r="H97" s="17"/>
    </row>
    <row r="98" spans="1:8">
      <c r="A98" s="5">
        <v>103</v>
      </c>
      <c r="B98" s="34" t="s">
        <v>162</v>
      </c>
      <c r="C98" s="13" t="s">
        <v>163</v>
      </c>
      <c r="D98" s="13" t="s">
        <v>164</v>
      </c>
      <c r="E98" s="35">
        <v>62.1</v>
      </c>
      <c r="F98" s="35">
        <v>69.8</v>
      </c>
      <c r="G98" s="5" t="s">
        <v>105</v>
      </c>
      <c r="H98" s="36">
        <v>52</v>
      </c>
    </row>
    <row r="99" spans="1:8">
      <c r="A99" s="5">
        <v>105</v>
      </c>
      <c r="B99" s="34" t="s">
        <v>165</v>
      </c>
      <c r="C99" s="13" t="s">
        <v>166</v>
      </c>
      <c r="D99" s="13" t="s">
        <v>167</v>
      </c>
      <c r="E99" s="35">
        <v>53.4</v>
      </c>
      <c r="F99" s="35">
        <v>59.1</v>
      </c>
      <c r="G99" s="5" t="s">
        <v>86</v>
      </c>
      <c r="H99" s="36">
        <v>61</v>
      </c>
    </row>
    <row r="100" spans="1:8">
      <c r="A100" s="5"/>
      <c r="B100" s="34" t="s">
        <v>168</v>
      </c>
      <c r="C100" s="13" t="s">
        <v>168</v>
      </c>
      <c r="D100" s="13" t="s">
        <v>43</v>
      </c>
      <c r="E100" s="35">
        <v>5.9</v>
      </c>
      <c r="F100" s="35">
        <v>6.5</v>
      </c>
      <c r="G100" s="5" t="s">
        <v>52</v>
      </c>
      <c r="H100" s="36">
        <v>554</v>
      </c>
    </row>
    <row r="101" spans="1:8">
      <c r="A101" s="5"/>
      <c r="B101" s="34" t="s">
        <v>169</v>
      </c>
      <c r="C101" s="13" t="s">
        <v>169</v>
      </c>
      <c r="D101" s="13" t="s">
        <v>43</v>
      </c>
      <c r="E101" s="35">
        <v>2.9</v>
      </c>
      <c r="F101" s="35">
        <v>3.2</v>
      </c>
      <c r="G101" s="5" t="s">
        <v>52</v>
      </c>
      <c r="H101" s="36">
        <v>1125</v>
      </c>
    </row>
    <row r="102" spans="1:8">
      <c r="A102" s="5">
        <v>107</v>
      </c>
      <c r="B102" s="34" t="s">
        <v>170</v>
      </c>
      <c r="C102" s="13" t="s">
        <v>170</v>
      </c>
      <c r="D102" s="13" t="s">
        <v>43</v>
      </c>
      <c r="E102" s="35">
        <v>10.199999999999999</v>
      </c>
      <c r="F102" s="35">
        <v>11.3</v>
      </c>
      <c r="G102" s="5" t="s">
        <v>52</v>
      </c>
      <c r="H102" s="36">
        <v>319</v>
      </c>
    </row>
    <row r="103" spans="1:8">
      <c r="A103" s="5">
        <v>172</v>
      </c>
      <c r="B103" s="34" t="s">
        <v>171</v>
      </c>
      <c r="C103" s="13" t="s">
        <v>171</v>
      </c>
      <c r="D103" s="13" t="s">
        <v>43</v>
      </c>
      <c r="E103" s="35">
        <v>3.7</v>
      </c>
      <c r="F103" s="35">
        <v>4.0999999999999996</v>
      </c>
      <c r="G103" s="5" t="s">
        <v>52</v>
      </c>
      <c r="H103" s="36">
        <v>878</v>
      </c>
    </row>
    <row r="104" spans="1:8">
      <c r="A104" s="5">
        <v>140</v>
      </c>
      <c r="B104" s="34" t="s">
        <v>172</v>
      </c>
      <c r="C104" s="13" t="s">
        <v>172</v>
      </c>
      <c r="D104" s="13" t="s">
        <v>43</v>
      </c>
      <c r="E104" s="35">
        <v>2.9</v>
      </c>
      <c r="F104" s="35">
        <v>3.2</v>
      </c>
      <c r="G104" s="5" t="s">
        <v>52</v>
      </c>
      <c r="H104" s="36">
        <v>1125</v>
      </c>
    </row>
    <row r="105" spans="1:8">
      <c r="A105" s="5">
        <v>125</v>
      </c>
      <c r="B105" s="34" t="s">
        <v>173</v>
      </c>
      <c r="C105" s="13" t="s">
        <v>173</v>
      </c>
      <c r="D105" s="13" t="s">
        <v>43</v>
      </c>
      <c r="E105" s="35">
        <v>14.6</v>
      </c>
      <c r="F105" s="35">
        <v>16.2</v>
      </c>
      <c r="G105" s="5" t="s">
        <v>52</v>
      </c>
      <c r="H105" s="36">
        <v>222</v>
      </c>
    </row>
    <row r="106" spans="1:8">
      <c r="A106" s="5">
        <v>40</v>
      </c>
      <c r="B106" s="34" t="s">
        <v>174</v>
      </c>
      <c r="C106" s="13" t="s">
        <v>174</v>
      </c>
      <c r="D106" s="13" t="s">
        <v>43</v>
      </c>
      <c r="E106" s="35">
        <v>5.9</v>
      </c>
      <c r="F106" s="35">
        <v>6.5</v>
      </c>
      <c r="G106" s="5" t="s">
        <v>52</v>
      </c>
      <c r="H106" s="36">
        <v>554</v>
      </c>
    </row>
    <row r="107" spans="1:8">
      <c r="A107" s="5">
        <v>154</v>
      </c>
      <c r="B107" s="34" t="s">
        <v>175</v>
      </c>
      <c r="C107" s="13" t="s">
        <v>175</v>
      </c>
      <c r="D107" s="13" t="s">
        <v>43</v>
      </c>
      <c r="E107" s="35">
        <v>26.2</v>
      </c>
      <c r="F107" s="35">
        <v>29</v>
      </c>
      <c r="G107" s="5" t="s">
        <v>52</v>
      </c>
      <c r="H107" s="36">
        <v>124</v>
      </c>
    </row>
    <row r="108" spans="1:8">
      <c r="A108" s="5">
        <v>121</v>
      </c>
      <c r="B108" s="34" t="s">
        <v>176</v>
      </c>
      <c r="C108" s="13" t="s">
        <v>176</v>
      </c>
      <c r="D108" s="13" t="s">
        <v>43</v>
      </c>
      <c r="E108" s="35">
        <v>11.1</v>
      </c>
      <c r="F108" s="35">
        <v>12.3</v>
      </c>
      <c r="G108" s="5" t="s">
        <v>52</v>
      </c>
      <c r="H108" s="36">
        <v>293</v>
      </c>
    </row>
    <row r="109" spans="1:8">
      <c r="A109" s="5">
        <v>102</v>
      </c>
      <c r="B109" s="34" t="s">
        <v>177</v>
      </c>
      <c r="C109" s="13" t="s">
        <v>177</v>
      </c>
      <c r="D109" s="13" t="s">
        <v>43</v>
      </c>
      <c r="E109" s="35">
        <v>3.8</v>
      </c>
      <c r="F109" s="35">
        <v>4.2</v>
      </c>
      <c r="G109" s="5" t="s">
        <v>52</v>
      </c>
      <c r="H109" s="36">
        <v>857</v>
      </c>
    </row>
    <row r="110" spans="1:8">
      <c r="A110" s="5">
        <v>152</v>
      </c>
      <c r="B110" s="34" t="s">
        <v>178</v>
      </c>
      <c r="C110" s="13" t="s">
        <v>178</v>
      </c>
      <c r="D110" s="13" t="s">
        <v>43</v>
      </c>
      <c r="E110" s="35">
        <v>1.4</v>
      </c>
      <c r="F110" s="35">
        <v>1.6</v>
      </c>
      <c r="G110" s="5" t="s">
        <v>52</v>
      </c>
      <c r="H110" s="36">
        <v>2250</v>
      </c>
    </row>
    <row r="111" spans="1:8" ht="39.4">
      <c r="A111" s="5">
        <v>131</v>
      </c>
      <c r="B111" s="34" t="s">
        <v>179</v>
      </c>
      <c r="C111" s="13" t="s">
        <v>179</v>
      </c>
      <c r="D111" s="13" t="s">
        <v>43</v>
      </c>
      <c r="E111" s="35">
        <v>9.4</v>
      </c>
      <c r="F111" s="35">
        <v>10.3</v>
      </c>
      <c r="G111" s="5" t="s">
        <v>52</v>
      </c>
      <c r="H111" s="36">
        <v>350</v>
      </c>
    </row>
    <row r="112" spans="1:8" ht="26.25">
      <c r="A112" s="5">
        <v>132</v>
      </c>
      <c r="B112" s="34" t="s">
        <v>180</v>
      </c>
      <c r="C112" s="13" t="s">
        <v>180</v>
      </c>
      <c r="D112" s="13" t="s">
        <v>43</v>
      </c>
      <c r="E112" s="35">
        <v>11.8</v>
      </c>
      <c r="F112" s="35">
        <v>13.1</v>
      </c>
      <c r="G112" s="5" t="s">
        <v>52</v>
      </c>
      <c r="H112" s="36">
        <v>275</v>
      </c>
    </row>
    <row r="113" spans="1:8">
      <c r="A113" s="5">
        <v>169</v>
      </c>
      <c r="B113" s="34" t="s">
        <v>181</v>
      </c>
      <c r="C113" s="13" t="s">
        <v>181</v>
      </c>
      <c r="D113" s="13" t="s">
        <v>43</v>
      </c>
      <c r="E113" s="35">
        <v>0.9</v>
      </c>
      <c r="F113" s="35">
        <v>1</v>
      </c>
      <c r="G113" s="5" t="s">
        <v>52</v>
      </c>
      <c r="H113" s="36">
        <v>3600</v>
      </c>
    </row>
    <row r="114" spans="1:8" ht="15" customHeight="1">
      <c r="A114" s="5"/>
      <c r="B114" s="17"/>
      <c r="C114" s="17"/>
      <c r="D114" s="17"/>
      <c r="E114" s="5"/>
      <c r="F114" s="5"/>
      <c r="G114" s="5"/>
      <c r="H114" s="5"/>
    </row>
    <row r="115" spans="1:8" ht="15" customHeight="1">
      <c r="A115" s="37" t="s">
        <v>182</v>
      </c>
    </row>
  </sheetData>
  <mergeCells count="22">
    <mergeCell ref="B16:E16"/>
    <mergeCell ref="B17:E17"/>
    <mergeCell ref="B18:E18"/>
    <mergeCell ref="B19:E19"/>
    <mergeCell ref="A66:A68"/>
    <mergeCell ref="B66:B68"/>
    <mergeCell ref="B11:E11"/>
    <mergeCell ref="B12:E12"/>
    <mergeCell ref="B13:E13"/>
    <mergeCell ref="B14:E14"/>
    <mergeCell ref="B15:E15"/>
    <mergeCell ref="B6:E6"/>
    <mergeCell ref="B7:E7"/>
    <mergeCell ref="B8:E8"/>
    <mergeCell ref="B9:E9"/>
    <mergeCell ref="B10:E10"/>
    <mergeCell ref="A1:H1"/>
    <mergeCell ref="A2:H2"/>
    <mergeCell ref="A3:H3"/>
    <mergeCell ref="B4:E4"/>
    <mergeCell ref="B5:E5"/>
    <mergeCell ref="F4:H19"/>
  </mergeCells>
  <conditionalFormatting sqref="A1:A93 A95:A1048576">
    <cfRule type="duplicateValues" dxfId="3" priority="2"/>
    <cfRule type="duplicateValues" dxfId="2" priority="3"/>
  </conditionalFormatting>
  <conditionalFormatting sqref="C21:C39">
    <cfRule type="duplicateValues" dxfId="1" priority="4"/>
  </conditionalFormatting>
  <conditionalFormatting sqref="I21:I39">
    <cfRule type="duplicateValues" dxfId="0" priority="1"/>
  </conditionalFormatting>
  <printOptions horizontalCentered="1"/>
  <pageMargins left="7.9166666666666705E-2" right="7.9166666666666705E-2" top="0.39652777777777798" bottom="0.39652777777777798" header="0.19791666666666699" footer="0.19791666666666699"/>
  <pageSetup paperSize="9" scale="76" orientation="portrait" r:id="rId1"/>
  <headerFooter>
    <oddFooter>&amp;R&amp;D &amp;T</oddFooter>
  </headerFooter>
  <colBreaks count="1" manualBreakCount="1">
    <brk id="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16A0509</vt:lpstr>
      <vt:lpstr>'16A0509'!Print_Area</vt:lpstr>
      <vt:lpstr>'16A0509'!Print_Titles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Yunzhu Lai</cp:lastModifiedBy>
  <dcterms:created xsi:type="dcterms:W3CDTF">2024-11-30T02:24:00Z</dcterms:created>
  <dcterms:modified xsi:type="dcterms:W3CDTF">2025-09-20T11:12:11Z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45C74664C5004D1BBA80080A4E3F4197_13</vt:lpwstr>
  </property>
  <property fmtid="{D5CDD505-2E9C-101B-9397-08002B2CF9AE}" pid="3" name="KSOProductBuildVer">
    <vt:lpwstr>2052-12.1.0.19302</vt:lpwstr>
  </property>
  <property fmtid="{D5CDD505-2E9C-101B-9397-08002B2CF9AE}" pid="4" name="KSOReadingLayout">
    <vt:bool>true</vt:bool>
  </property>
</Properties>
</file>